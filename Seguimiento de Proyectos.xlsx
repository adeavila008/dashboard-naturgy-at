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es365.sharepoint.com/sites/ISES-Transmisin/Seguimiento y Control/1. Seguimiento/"/>
    </mc:Choice>
  </mc:AlternateContent>
  <xr:revisionPtr revIDLastSave="2118" documentId="8_{4EA354F3-1890-41B5-8D8E-3A23B6D623C3}" xr6:coauthVersionLast="47" xr6:coauthVersionMax="47" xr10:uidLastSave="{683E6CD3-95ED-402B-A4AA-1F2699C754C4}"/>
  <bookViews>
    <workbookView xWindow="-108" yWindow="-108" windowWidth="23256" windowHeight="12456" xr2:uid="{CF1EBE99-A5C2-41B0-9ACC-03F6AD90897D}"/>
  </bookViews>
  <sheets>
    <sheet name="Hoja1" sheetId="1" r:id="rId1"/>
    <sheet name="Hoja2" sheetId="2" r:id="rId2"/>
  </sheets>
  <definedNames>
    <definedName name="_xlnm._FilterDatabase" localSheetId="0" hidden="1">Hoja1!$E$3:$J$3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5" i="1" l="1"/>
  <c r="G205" i="1"/>
  <c r="J204" i="1"/>
  <c r="G204" i="1"/>
  <c r="J203" i="1"/>
  <c r="G203" i="1"/>
  <c r="J202" i="1"/>
  <c r="G202" i="1"/>
  <c r="J201" i="1"/>
  <c r="G201" i="1"/>
  <c r="J200" i="1"/>
  <c r="G200" i="1"/>
  <c r="J209" i="1"/>
  <c r="G209" i="1"/>
  <c r="J208" i="1"/>
  <c r="G208" i="1"/>
  <c r="J207" i="1"/>
  <c r="G207" i="1"/>
  <c r="J206" i="1"/>
  <c r="G206" i="1"/>
  <c r="J199" i="1"/>
  <c r="G199" i="1"/>
  <c r="G179" i="1"/>
  <c r="J179" i="1"/>
  <c r="G178" i="1"/>
  <c r="J178" i="1"/>
  <c r="G160" i="1"/>
  <c r="J160" i="1"/>
  <c r="G159" i="1"/>
  <c r="J159" i="1"/>
  <c r="G158" i="1"/>
  <c r="J158" i="1"/>
  <c r="G155" i="1"/>
  <c r="J155" i="1"/>
  <c r="G154" i="1"/>
  <c r="J154" i="1"/>
  <c r="G145" i="1"/>
  <c r="J145" i="1"/>
  <c r="G144" i="1"/>
  <c r="J144" i="1"/>
  <c r="G143" i="1"/>
  <c r="J143" i="1"/>
  <c r="G130" i="1"/>
  <c r="J130" i="1"/>
  <c r="G129" i="1"/>
  <c r="J129" i="1"/>
  <c r="G123" i="1"/>
  <c r="J123" i="1"/>
  <c r="G122" i="1"/>
  <c r="J122" i="1"/>
  <c r="G121" i="1"/>
  <c r="J121" i="1"/>
  <c r="J174" i="1"/>
  <c r="G174" i="1"/>
  <c r="G172" i="1"/>
  <c r="J172" i="1"/>
  <c r="J171" i="1"/>
  <c r="G171" i="1"/>
  <c r="J42" i="1"/>
  <c r="G42" i="1"/>
  <c r="J41" i="1"/>
  <c r="G41" i="1"/>
  <c r="J40" i="1"/>
  <c r="G40" i="1"/>
  <c r="J39" i="1"/>
  <c r="G39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J117" i="1"/>
  <c r="G117" i="1"/>
  <c r="J116" i="1"/>
  <c r="G116" i="1"/>
  <c r="J115" i="1"/>
  <c r="G115" i="1"/>
  <c r="J114" i="1"/>
  <c r="G114" i="1"/>
  <c r="J113" i="1"/>
  <c r="G113" i="1"/>
  <c r="J94" i="1"/>
  <c r="G94" i="1"/>
  <c r="J93" i="1"/>
  <c r="G93" i="1"/>
  <c r="J91" i="1"/>
  <c r="G91" i="1"/>
  <c r="J90" i="1"/>
  <c r="G90" i="1"/>
  <c r="J76" i="1"/>
  <c r="J80" i="1"/>
  <c r="G80" i="1"/>
  <c r="J79" i="1"/>
  <c r="G79" i="1"/>
  <c r="J78" i="1"/>
  <c r="G78" i="1"/>
  <c r="J77" i="1"/>
  <c r="G77" i="1"/>
  <c r="G76" i="1"/>
  <c r="J57" i="1"/>
  <c r="G57" i="1"/>
  <c r="J56" i="1"/>
  <c r="G56" i="1"/>
  <c r="J55" i="1"/>
  <c r="G55" i="1"/>
  <c r="J54" i="1"/>
  <c r="G54" i="1"/>
  <c r="J28" i="1"/>
  <c r="G28" i="1"/>
  <c r="J27" i="1"/>
  <c r="G27" i="1"/>
  <c r="J26" i="1"/>
  <c r="G26" i="1"/>
  <c r="J25" i="1"/>
  <c r="G25" i="1"/>
  <c r="J118" i="1"/>
  <c r="G118" i="1"/>
  <c r="J166" i="1"/>
  <c r="J167" i="1"/>
  <c r="J168" i="1"/>
  <c r="J169" i="1"/>
  <c r="J170" i="1"/>
  <c r="J173" i="1"/>
  <c r="J175" i="1"/>
  <c r="J176" i="1"/>
  <c r="J177" i="1"/>
  <c r="J180" i="1"/>
  <c r="J181" i="1"/>
  <c r="J182" i="1"/>
  <c r="J183" i="1"/>
  <c r="J184" i="1"/>
  <c r="J185" i="1"/>
  <c r="G166" i="1"/>
  <c r="G167" i="1"/>
  <c r="G168" i="1"/>
  <c r="G169" i="1"/>
  <c r="G170" i="1"/>
  <c r="G173" i="1"/>
  <c r="G175" i="1"/>
  <c r="G176" i="1"/>
  <c r="G180" i="1"/>
  <c r="G181" i="1"/>
  <c r="G182" i="1"/>
  <c r="G183" i="1"/>
  <c r="G184" i="1"/>
  <c r="G185" i="1"/>
  <c r="J162" i="1"/>
  <c r="J163" i="1"/>
  <c r="J164" i="1"/>
  <c r="J165" i="1"/>
  <c r="G162" i="1"/>
  <c r="G163" i="1"/>
  <c r="G164" i="1"/>
  <c r="G165" i="1"/>
  <c r="J157" i="1"/>
  <c r="G157" i="1"/>
  <c r="G156" i="1"/>
  <c r="G147" i="1"/>
  <c r="G140" i="1"/>
  <c r="G137" i="1"/>
  <c r="J137" i="1"/>
  <c r="G138" i="1"/>
  <c r="J138" i="1"/>
  <c r="G136" i="1"/>
  <c r="J135" i="1"/>
  <c r="J136" i="1"/>
  <c r="G135" i="1"/>
  <c r="J134" i="1"/>
  <c r="G134" i="1"/>
  <c r="J24" i="1"/>
  <c r="G24" i="1"/>
  <c r="J38" i="1"/>
  <c r="G38" i="1"/>
  <c r="J37" i="1"/>
  <c r="G37" i="1"/>
  <c r="J133" i="1"/>
  <c r="G133" i="1"/>
  <c r="J132" i="1"/>
  <c r="G132" i="1"/>
  <c r="J131" i="1"/>
  <c r="G131" i="1"/>
  <c r="G128" i="1"/>
  <c r="J128" i="1"/>
  <c r="G127" i="1"/>
  <c r="J127" i="1"/>
  <c r="G126" i="1"/>
  <c r="J126" i="1"/>
  <c r="G125" i="1"/>
  <c r="J125" i="1"/>
  <c r="J36" i="1"/>
  <c r="G36" i="1"/>
  <c r="J35" i="1"/>
  <c r="G35" i="1"/>
  <c r="J34" i="1" l="1"/>
  <c r="G3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9" i="1"/>
  <c r="J30" i="1"/>
  <c r="J31" i="1"/>
  <c r="J32" i="1"/>
  <c r="J33" i="1"/>
  <c r="J43" i="1"/>
  <c r="J44" i="1"/>
  <c r="J45" i="1"/>
  <c r="J46" i="1"/>
  <c r="J47" i="1"/>
  <c r="J48" i="1"/>
  <c r="J49" i="1"/>
  <c r="J50" i="1"/>
  <c r="J51" i="1"/>
  <c r="J52" i="1"/>
  <c r="J53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81" i="1"/>
  <c r="J82" i="1"/>
  <c r="J83" i="1"/>
  <c r="J84" i="1"/>
  <c r="J85" i="1"/>
  <c r="J86" i="1"/>
  <c r="J87" i="1"/>
  <c r="J88" i="1"/>
  <c r="J89" i="1"/>
  <c r="J92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9" i="1"/>
  <c r="J120" i="1"/>
  <c r="J124" i="1"/>
  <c r="G33" i="1" l="1"/>
  <c r="G32" i="1"/>
  <c r="G64" i="1" l="1"/>
  <c r="G31" i="1"/>
  <c r="G30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9" i="1"/>
  <c r="G43" i="1"/>
  <c r="G44" i="1"/>
  <c r="G45" i="1"/>
  <c r="G46" i="1"/>
  <c r="G47" i="1"/>
  <c r="G48" i="1"/>
  <c r="G49" i="1"/>
  <c r="G50" i="1"/>
  <c r="G51" i="1"/>
  <c r="G52" i="1"/>
  <c r="G53" i="1"/>
  <c r="G58" i="1"/>
  <c r="G59" i="1"/>
  <c r="G60" i="1"/>
  <c r="G61" i="1"/>
  <c r="G62" i="1"/>
  <c r="G63" i="1"/>
  <c r="G65" i="1"/>
  <c r="G66" i="1"/>
  <c r="G67" i="1"/>
  <c r="G68" i="1"/>
  <c r="G69" i="1"/>
  <c r="G70" i="1"/>
  <c r="G71" i="1"/>
  <c r="G72" i="1"/>
  <c r="G73" i="1"/>
  <c r="G74" i="1"/>
  <c r="G75" i="1"/>
  <c r="G81" i="1"/>
  <c r="G82" i="1"/>
  <c r="G83" i="1"/>
  <c r="G84" i="1"/>
  <c r="G85" i="1"/>
  <c r="G86" i="1"/>
  <c r="G87" i="1"/>
  <c r="G88" i="1"/>
  <c r="G89" i="1"/>
  <c r="G92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9" i="1"/>
  <c r="G120" i="1"/>
  <c r="G124" i="1"/>
</calcChain>
</file>

<file path=xl/sharedStrings.xml><?xml version="1.0" encoding="utf-8"?>
<sst xmlns="http://schemas.openxmlformats.org/spreadsheetml/2006/main" count="1179" uniqueCount="269">
  <si>
    <t>SUBESTACIONES SEGUIMIENTO</t>
  </si>
  <si>
    <t>SUB-Proyecto</t>
  </si>
  <si>
    <t>Centro de costo</t>
  </si>
  <si>
    <t>Codigo del documento</t>
  </si>
  <si>
    <t>Documento</t>
  </si>
  <si>
    <t>Responsable</t>
  </si>
  <si>
    <t>Cargo</t>
  </si>
  <si>
    <t>Fecha y hora de incio</t>
  </si>
  <si>
    <t>Fecha y hora de Fin</t>
  </si>
  <si>
    <t>Horas</t>
  </si>
  <si>
    <t>Observaciones</t>
  </si>
  <si>
    <t>SE LOCERIA AMPLIACION L3</t>
  </si>
  <si>
    <t>EDM 23136-101</t>
  </si>
  <si>
    <t>JESUS DANIEL MENDOZA MERIÑO</t>
  </si>
  <si>
    <t>NATURGY</t>
  </si>
  <si>
    <t>ELKIN DAVID GUTIERREZ CAMPO</t>
  </si>
  <si>
    <t>SE-ALOCL3-ISES-AMP-PRE-ME- 00001</t>
  </si>
  <si>
    <t>PRESUPUESTO COMPONENTE ELECTROMECÁNICO</t>
  </si>
  <si>
    <t>BRAYAN DASAEV REALES VELASQUEZ</t>
  </si>
  <si>
    <t>ATENCION DE INCIDENCIAS</t>
  </si>
  <si>
    <t>SE METALCLAD LOCERIA</t>
  </si>
  <si>
    <t>SE-MC3LOC-ISES-AMP-M3D-OC-40000</t>
  </si>
  <si>
    <t>CANALIZACIONES</t>
  </si>
  <si>
    <t>RENY TATIANA OLARTE LOBO</t>
  </si>
  <si>
    <t>SE-ALOCL3-ISES-AMP-M3D-OC-00007</t>
  </si>
  <si>
    <t>CIMENTACION REACTOR</t>
  </si>
  <si>
    <t>JUAN JOSE GUTIERREZ DE LA HOZ</t>
  </si>
  <si>
    <t>SE-ALOCL3-ISES-AMP-M3D-OC-00008</t>
  </si>
  <si>
    <t>CIMENTACION ESTRUCTURA SOPORTE DE CABLES REACTOR</t>
  </si>
  <si>
    <t>SE-MC3LOC-ISES-AMP-MC-ME-40005</t>
  </si>
  <si>
    <t>MEMORIA SERVICIO AUXILIARES</t>
  </si>
  <si>
    <t>LUIS EDUARDO VEGA ARIZA</t>
  </si>
  <si>
    <t>ATENCION DE INCIDENCIAS DEL 5 MAYO 2026</t>
  </si>
  <si>
    <t>TURBACO AFINIA</t>
  </si>
  <si>
    <t>AFN24102-100</t>
  </si>
  <si>
    <t>ALEX SANTIAGO RODRIGUEZ</t>
  </si>
  <si>
    <t>ATENCION A COMENTARIOS GENERALES</t>
  </si>
  <si>
    <t>SE-MC3LOC-ISES-AMP-M3D-ME-40000</t>
  </si>
  <si>
    <t>SOPORTE DE CABLES Y BANDEJAS</t>
  </si>
  <si>
    <t>LUIS FERNANDO ZABALETA GONZALEZ</t>
  </si>
  <si>
    <t>SE-MC3LOC-ISES-AMP-M3D-ME-30000</t>
  </si>
  <si>
    <t xml:space="preserve">MODELO GENERAL </t>
  </si>
  <si>
    <t>LAT 230 SANTIAGO</t>
  </si>
  <si>
    <t>LAT-SGO2-ISES-NEW-PL-OC-00001</t>
  </si>
  <si>
    <t xml:space="preserve">PLANO TOPOGRAFICO </t>
  </si>
  <si>
    <t>ALEJANDRO DAZA BERNAL</t>
  </si>
  <si>
    <t>ATENCION A COMENTARIOS</t>
  </si>
  <si>
    <t>SE-MC3LOC-ISES-AMP-ET-ME-10009</t>
  </si>
  <si>
    <t>ET UCI - FE UCI</t>
  </si>
  <si>
    <t>SE SAN FRANCISCO</t>
  </si>
  <si>
    <t>SE-MC2SFC-ISES-NEW-M3D-ME-30000</t>
  </si>
  <si>
    <t>MODELO GENERAL- BASICA</t>
  </si>
  <si>
    <t>CRISTIAN DAVID FABREGAS BLANCO</t>
  </si>
  <si>
    <t>SE-ALOCL3-ISES-AMP-M3D-ME- 00001</t>
  </si>
  <si>
    <t>REVISION DE DOCUMENTOS</t>
  </si>
  <si>
    <t>SE-SIE-ME-PL-501</t>
  </si>
  <si>
    <t>CORTES DE BANDEJAS SIERRA FLOR</t>
  </si>
  <si>
    <t>EDUARDO GUZMAN SANCHEZ</t>
  </si>
  <si>
    <t>ADICION DE CORTES NUEVOS A PLANO DE CORTES DE BANDEJAS</t>
  </si>
  <si>
    <t>SE-PUL-ME-PL-309</t>
  </si>
  <si>
    <t>ATENCION DE COMENTARIOS P LIBERTADOR</t>
  </si>
  <si>
    <t>ATENCION DE COMENTARIOS GENERALES.</t>
  </si>
  <si>
    <t>LAT CHORRERA</t>
  </si>
  <si>
    <t>LAT-CHOTR2-ISES-NEW-M3D-OC-00000</t>
  </si>
  <si>
    <t>CÁMARAS - LÍNEAS - CAD - TOPOGRAFIA</t>
  </si>
  <si>
    <t>DICNEY RUIZ HERNANDEZ</t>
  </si>
  <si>
    <t>AJUSTE DE PLANIMETRIA CAD</t>
  </si>
  <si>
    <t>LAT-CHOTR2-ISES-NEW-M3D-OC-00006</t>
  </si>
  <si>
    <t>TUBERIA EXISTENTE</t>
  </si>
  <si>
    <t>AJUSTE IFC PARA RVT</t>
  </si>
  <si>
    <t>LAT-CHOTR2-ISES-NEW-M3D-OC-20000</t>
  </si>
  <si>
    <t>MODELO GENERAL PLANTA PERFIL</t>
  </si>
  <si>
    <t>PLANIMETRIA</t>
  </si>
  <si>
    <t>LAT-CHOTR2-ISES-NEW-M3D-OC-20001</t>
  </si>
  <si>
    <t>MODELO GENERAL PLANTA PERFIL TRAMO 1-2</t>
  </si>
  <si>
    <t xml:space="preserve">PLANIMETRIA </t>
  </si>
  <si>
    <t>LAT-CHOTR2-ISES-NEW-M3D-OC-00007</t>
  </si>
  <si>
    <t>PERFILES</t>
  </si>
  <si>
    <t>SAN JUAN DE ARAMA AFINIA LAT</t>
  </si>
  <si>
    <t>AFN24102-101</t>
  </si>
  <si>
    <t>LAT-SJGR-ISES-NEW-PL-ME-20004</t>
  </si>
  <si>
    <t>Plano de AutoCAD</t>
  </si>
  <si>
    <t>ORLANDO ANGULO BUSTILLOS</t>
  </si>
  <si>
    <t>ATENCION DE AUTOCAD</t>
  </si>
  <si>
    <t>LAT PANAMA III</t>
  </si>
  <si>
    <t>LAT-SJGR-ISES-NEW-PL-ME-20005</t>
  </si>
  <si>
    <t>MODELO GENERAL</t>
  </si>
  <si>
    <t>EJECUCION DE PLANOS</t>
  </si>
  <si>
    <t>LAT-CHORTR2-ISES-NEW-PL-M3D-ME-20000</t>
  </si>
  <si>
    <t>SE-ALOCL3-ISES-AMP-M3D-OC-00004</t>
  </si>
  <si>
    <t>SE-ALOCL3-ISES-AMP-M3D-OC-00003</t>
  </si>
  <si>
    <t>DRENAJE</t>
  </si>
  <si>
    <t>SIERRA FLOR AFINIA</t>
  </si>
  <si>
    <t>SE-SIE-ME-PL-506</t>
  </si>
  <si>
    <t>CORTES RUTA DE CABLES DE POTENCIA</t>
  </si>
  <si>
    <t>DIEGO PEREIRA IRIARTE</t>
  </si>
  <si>
    <t>ADICION DE CORTES NUEVOS A PLANO DE RUTA DE CABLES</t>
  </si>
  <si>
    <t>LAT-CHOTR2-ISES-NEW-M3D-OC-10000</t>
  </si>
  <si>
    <t>CAMILO GALVEZ OSORIO</t>
  </si>
  <si>
    <t>APOYO PARA AJUSTE DE  INFORMACION EN BASE A COMENTARIOS</t>
  </si>
  <si>
    <t>SE-TUR-OC-PL-007-1</t>
  </si>
  <si>
    <t>Plano  de Demoliciones</t>
  </si>
  <si>
    <t>LEO TEKKEN GONCALVES</t>
  </si>
  <si>
    <t xml:space="preserve">SE-MC3LOC-ISES-AMP-ET-ME-10000 </t>
  </si>
  <si>
    <t>ET MONTAJE ELECTROMECANICO</t>
  </si>
  <si>
    <t>SE-ALOCL3-ISES-AMP-ET-ME-00009</t>
  </si>
  <si>
    <t>ET TRANSFORMADOR DE POTENCIA</t>
  </si>
  <si>
    <t xml:space="preserve">ATENCION A INCIDENCIAS </t>
  </si>
  <si>
    <t>SE-ALOCL3-ISES-AMP-ET-ME-00019</t>
  </si>
  <si>
    <t>ET TRANSFORMADOR DE SERVICIOS AUXILIARES</t>
  </si>
  <si>
    <t>ET ARMARIO UCI</t>
  </si>
  <si>
    <t>SE-MC3LOC-ISES-AMP-MC-ME-40004</t>
  </si>
  <si>
    <t>MC CABLES AISLADOS MT</t>
  </si>
  <si>
    <t>SE-MC3LOC-ISES-AMP-MC-ME-40008</t>
  </si>
  <si>
    <t>MC MALLA PUESTA A TIERRA</t>
  </si>
  <si>
    <t>AJUSTE PLANIMETRIA CAD PARA MODELOS 20001 A 20005</t>
  </si>
  <si>
    <t>LAT-CHOTR2-ISES-NEW-M3D-OC-00001</t>
  </si>
  <si>
    <t>LÍNEA PROYECTADA SE TORNO - CG2</t>
  </si>
  <si>
    <t>MODELADO Y AJUSTE DE TUBERIA PHD</t>
  </si>
  <si>
    <t>LAT-CHOTR2-ISES-NEW-M3D-OC-00002</t>
  </si>
  <si>
    <t>LÍNEA PROYECTADA CG2 - CG3</t>
  </si>
  <si>
    <t>BERRUGAS AFINIA</t>
  </si>
  <si>
    <t>SE-BER-OC-PL-017</t>
  </si>
  <si>
    <t>Sistema de red de incendios caseta</t>
  </si>
  <si>
    <t>SE-MC3LOC-ISES-AMP-ET-ME-10008</t>
  </si>
  <si>
    <t>ET DE VARILLA DE PUESTA A TIERRA</t>
  </si>
  <si>
    <t>SE-MC3LOC-ISES-AMP-ET-ME-10001</t>
  </si>
  <si>
    <t>ET DE SHELTER O METAL CLAD</t>
  </si>
  <si>
    <t>SE-MC3LOC-ISES-AMP-MC-ME-40006</t>
  </si>
  <si>
    <t>MC INSTALACIONES ELECTRICAS E ILUMINACIÓN</t>
  </si>
  <si>
    <t>SE ALMIRANTE II</t>
  </si>
  <si>
    <t>SE-ALM2-ISES-NEW-M3D-OC-20000</t>
  </si>
  <si>
    <t>PLANOS DE BOMBEROS</t>
  </si>
  <si>
    <t>SE SANTIAGO II</t>
  </si>
  <si>
    <t>SE-SGO2-ISES-NEW-ET-ME-10003</t>
  </si>
  <si>
    <t>ET CELDAS 34,5</t>
  </si>
  <si>
    <t>MC SERVICIOS AUXILIARES</t>
  </si>
  <si>
    <t>ESPECIFICACIÓN TÉCNICA DE SUMINISTRO DE ARMARIO DE RECTIFICADOR Y BANCO DE BATERÍAS</t>
  </si>
  <si>
    <t>SE-MC3LOC-ISES-AMP-ET-ME-10002</t>
  </si>
  <si>
    <t>ESPECIFICACIÓN TÉCNICA DE  CELDAS</t>
  </si>
  <si>
    <t>SE-BER-OC-ID-PL-018</t>
  </si>
  <si>
    <t>SE-MC2SFC-ISES-NEW-ET-ME-10010</t>
  </si>
  <si>
    <t>ET ARMAROS DE SERVICIOS AUXILIARES</t>
  </si>
  <si>
    <t>AJUSTE IFC TUBERIA EXISTENTE</t>
  </si>
  <si>
    <t>CONFIGURACIÓN DE LINEATURA DE CAD PARA REVIT</t>
  </si>
  <si>
    <t>SE-ALOCL3-ISES-AMP-ET-ME-00010</t>
  </si>
  <si>
    <t>ET DE CELDAS 115 kV</t>
  </si>
  <si>
    <t>PUERTO LIBERTADOR AFINIA</t>
  </si>
  <si>
    <t xml:space="preserve">Atencion de comentario </t>
  </si>
  <si>
    <t>SE-ALOCL3-ISES-AMP-ET-ME-00027</t>
  </si>
  <si>
    <t>ET DE SECCIONADOR 34,5 KV</t>
  </si>
  <si>
    <t>SE-ALOCL3-ISES-AMP-FE-ME-00018</t>
  </si>
  <si>
    <t xml:space="preserve">FE DE SECCIONADOR 34,5 KV </t>
  </si>
  <si>
    <t>SE-ALOCL3-ISES-AMP-ET-ME-00023</t>
  </si>
  <si>
    <t>SE-ALOCL3-ISES-AMP-ET-ME-00028</t>
  </si>
  <si>
    <t>ESPECIFICACIÓN TECNICA PLANTA ELECTRICA DE 150 kVA</t>
  </si>
  <si>
    <t>SE-ALOCL3-ISES-AMP-M3D-OC-00006</t>
  </si>
  <si>
    <t>EDIFICIO DE CONTROL</t>
  </si>
  <si>
    <t>LAT-CHOTR2-ISES-NEW-M3D-OC-00003</t>
  </si>
  <si>
    <t>LÍNEA PROYECTADA CG3 - CE2</t>
  </si>
  <si>
    <t>LAT-CHOTR2-ISES-NEW-M3D-OC-00005</t>
  </si>
  <si>
    <t>LÍNEA PROYECTADA CE3 A SE CHORRERA</t>
  </si>
  <si>
    <t>SE-ALOCL3-ISES-AMP-FE-ME-00017</t>
  </si>
  <si>
    <t>FE ARMARIO UCI</t>
  </si>
  <si>
    <t>SE-ALOCL3-ISES-AMP-ET-ME-00022</t>
  </si>
  <si>
    <t xml:space="preserve">ET - FE conductores subteraneos </t>
  </si>
  <si>
    <t>SE-ALOCL3-ISES-AMP-ET-ME-00016</t>
  </si>
  <si>
    <t>SE-ALOCL3-ISES-AMP-FE-ME-00023</t>
  </si>
  <si>
    <t>FE DE AISLADORES</t>
  </si>
  <si>
    <t>ELABORACION DE FICHA TECNICA</t>
  </si>
  <si>
    <t>SE-ALOCL3-ISES-AMP-CRO-ME-00001</t>
  </si>
  <si>
    <t>CRONOGRAFICO</t>
  </si>
  <si>
    <t>SE-ALM2-ISES-NEW-ET-ME-10022</t>
  </si>
  <si>
    <t>ET ARMARIO RECTIFICADOR Y BANCO BATERIAS</t>
  </si>
  <si>
    <t>SE-ALOCL3-ISES-AMP-M3D-ME- 00002</t>
  </si>
  <si>
    <t>Modelo general de bandejas portacables y rutas de cables</t>
  </si>
  <si>
    <t>MODELADO DUCTOS DE CONTROL Y FUERZA</t>
  </si>
  <si>
    <t>MODELO GENERAL ME</t>
  </si>
  <si>
    <t>PLANOS DIAGRAMAS UNIFILARES</t>
  </si>
  <si>
    <t>SE-ALOCL3-ISES-AMP-M3D-ME- 00003</t>
  </si>
  <si>
    <t>Modelo de sistemas SPT, APT Y EIE</t>
  </si>
  <si>
    <t>PLANO DETALLES CONTRA PRESENTACION</t>
  </si>
  <si>
    <t>Actualizacion de plantas</t>
  </si>
  <si>
    <t>CÁMRAS - LÍNEAS - CAD - TOPOGRAFIA</t>
  </si>
  <si>
    <t>ATENCIÓN A COMENTARIOS</t>
  </si>
  <si>
    <t>PLANIMETRIA - ATENCIÓN A COMENTARIOS</t>
  </si>
  <si>
    <t>LAT-CHOTR2-ISES-NEW-M3D-OC-20002</t>
  </si>
  <si>
    <t>MODELO GENERAL PLANTA PERFIL TRAMO 3 - 4</t>
  </si>
  <si>
    <t>SE-MC2SFC-ISES-NEW-PL-OC-10001</t>
  </si>
  <si>
    <t xml:space="preserve">PLANO TOPOGRAFIA </t>
  </si>
  <si>
    <t>COMENTARIOS GENERALES</t>
  </si>
  <si>
    <t xml:space="preserve">  EDM 23136-101</t>
  </si>
  <si>
    <t>CÁMARAS - LÍNEAS - CAD- TOPOGRAFIA</t>
  </si>
  <si>
    <t>MODELOS M3D CÁMARAS - CAD</t>
  </si>
  <si>
    <t>MODELO GENERAL PLANTA PERFIL TRAMO 1 - 2</t>
  </si>
  <si>
    <t xml:space="preserve">SE-ALOCL3-ISES-AMP-ET-ME-00016 </t>
  </si>
  <si>
    <t xml:space="preserve">ET MONTAJE ELECTROMECANICO </t>
  </si>
  <si>
    <t>PLANOS REVISION</t>
  </si>
  <si>
    <t>SE-ALOCL3-ISES-AMP-CC-ME-00001</t>
  </si>
  <si>
    <t>CONDICIONES DE CONTRATACION DE MONTAJE ELECTROMECANICO</t>
  </si>
  <si>
    <t>SE-MC2SFC-ISES-NEW-INF-ME-00001</t>
  </si>
  <si>
    <t>CRITERIOS DE DISEÑO ELECTROMECANICO</t>
  </si>
  <si>
    <t>PLANIMETRIA DEMOLICIONES - REPOSICIÓN</t>
  </si>
  <si>
    <t>LAT-CHOTR2-ISES-NEW-M3D-OC-30000</t>
  </si>
  <si>
    <t>PLANO GENERAL DEMOLICIONES - REPOSICIÓN</t>
  </si>
  <si>
    <t>MODELO M3D - ATENCIÓN A COMENTARIOS</t>
  </si>
  <si>
    <t>MD3 TRAYECTORIA GENERAL</t>
  </si>
  <si>
    <t>LAT JUSTO AROSEMENA</t>
  </si>
  <si>
    <t>PLANO GEORRADAR</t>
  </si>
  <si>
    <t>INCIDENCIAS</t>
  </si>
  <si>
    <t>MODELADOR ME</t>
  </si>
  <si>
    <t>SE-MC2SFC-ISES-NEW-MC-ME-40003</t>
  </si>
  <si>
    <t>SELECCIÓN DE DESCARGADORES DE SOBRETENSIÓN</t>
  </si>
  <si>
    <t>MODELO GENERAL BANDEJAS</t>
  </si>
  <si>
    <t>MODELO SPT, APT.ILU</t>
  </si>
  <si>
    <t>COMENTARIOS</t>
  </si>
  <si>
    <t xml:space="preserve">MODELADO DE CAJA PUESTA A TIERRA DE TERMINALES </t>
  </si>
  <si>
    <t>CORRECCIÓN MODELADO CONECTORES</t>
  </si>
  <si>
    <t>CORRECCIÓN MODELADO MALLA PAT</t>
  </si>
  <si>
    <t>CORRECCIÓN PLANOS MALLA PAT</t>
  </si>
  <si>
    <t>PLANIMETRIA DEMOLICONES - REPOSICIÓN</t>
  </si>
  <si>
    <t xml:space="preserve">MODELO M3D </t>
  </si>
  <si>
    <t>LAT-CHOTR2-ISES-NEW-M3D-OC-20004</t>
  </si>
  <si>
    <t>MODELO GENERAL PLANTA PERFIL TRAMO 7 - 8</t>
  </si>
  <si>
    <t>LAT-CHOTR2-ISES-NEW-M3D-OC-20005</t>
  </si>
  <si>
    <t>MODELO GENERAL PLANTA PERFIL TRAMO 9 - 10</t>
  </si>
  <si>
    <t>LAT LLANO SANCHEZ</t>
  </si>
  <si>
    <t>AJUSTE DE DISEÑO PRELIMINAR</t>
  </si>
  <si>
    <t>SE MONTERIA AFINIA</t>
  </si>
  <si>
    <t>ACTUALIZACIÓN A VERSION 1.0 DE PLANOS</t>
  </si>
  <si>
    <t xml:space="preserve">ELABORACION DE LA ET DE ARMARIO UCI </t>
  </si>
  <si>
    <t>ELABORACION DE ET - FE CELDAS 13.8 kV</t>
  </si>
  <si>
    <t>ADECUACION DE TERRENO</t>
  </si>
  <si>
    <t>PLANO GEORRDAR JUSTO AROSEMENA</t>
  </si>
  <si>
    <t>EDM 23136-102</t>
  </si>
  <si>
    <t>PLANO M3D LLANO SANCHEZ</t>
  </si>
  <si>
    <t>AJUSTE RASANTE</t>
  </si>
  <si>
    <t>CORRECCION ESTUDIO DE COLISIONES</t>
  </si>
  <si>
    <t>Armario UCI</t>
  </si>
  <si>
    <t>MODELO M3D CAD - AJUSTE DE PLANTAS CAD</t>
  </si>
  <si>
    <t>PLANIMETRIA PLANO DEMOLICIONES - REPOSICIÓN</t>
  </si>
  <si>
    <t>LEVANTAMIENTO TOPOGRAFICO</t>
  </si>
  <si>
    <t xml:space="preserve">PLANO DETALLE ACERO CHORRERA </t>
  </si>
  <si>
    <t>CORTES REGISTROS DE POTENCIA</t>
  </si>
  <si>
    <t>DISCIPLINA</t>
  </si>
  <si>
    <t>ME</t>
  </si>
  <si>
    <t>OC</t>
  </si>
  <si>
    <t>CARGOS</t>
  </si>
  <si>
    <t>ANALISTA ME</t>
  </si>
  <si>
    <t>ANALISTA OC</t>
  </si>
  <si>
    <t>PRACTICANTE ME</t>
  </si>
  <si>
    <t>PRACTICANTE OC</t>
  </si>
  <si>
    <t>MODELADOR OC</t>
  </si>
  <si>
    <t>BIM</t>
  </si>
  <si>
    <t>INGENIERO ME</t>
  </si>
  <si>
    <t>INGENIERO OC</t>
  </si>
  <si>
    <t>RESPONSABLES</t>
  </si>
  <si>
    <t>GERMAN PLAZAS CARDENAS</t>
  </si>
  <si>
    <t>FRANCISCO EMIGDIO CONTRERAS</t>
  </si>
  <si>
    <t>PROYECTOS</t>
  </si>
  <si>
    <t>LAT COCO 230KV</t>
  </si>
  <si>
    <t>PUERTO ESCONDIDO AFINIA</t>
  </si>
  <si>
    <t>BOCA GRANDE AFINIA</t>
  </si>
  <si>
    <t>EL BANCO AFININA</t>
  </si>
  <si>
    <t>NUEVA COSPIQUE AFINIA</t>
  </si>
  <si>
    <t>SE COCO II</t>
  </si>
  <si>
    <t>CENTRO DE COSTO</t>
  </si>
  <si>
    <t>NATURGY LAT/SE</t>
  </si>
  <si>
    <t>AFINIA ADT5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</si>
</sst>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/mm/yyyy\ h:mm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8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3" fontId="0" fillId="0" borderId="0" xfId="1" applyFont="1"/>
    <xf numFmtId="0" fontId="2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2" fillId="0" borderId="1" xfId="0" applyFont="1" applyBorder="1"/>
    <xf numFmtId="0" fontId="0" fillId="0" borderId="4" xfId="0" applyBorder="1"/>
    <xf numFmtId="0" fontId="0" fillId="0" borderId="6" xfId="0" applyBorder="1"/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0" fillId="0" borderId="3" xfId="0" applyBorder="1" applyAlignment="1">
      <alignment vertical="center" indent="1"/>
    </xf>
    <xf numFmtId="0" fontId="0" fillId="0" borderId="0" xfId="0" applyAlignment="1">
      <alignment wrapText="1"/>
    </xf>
    <xf numFmtId="0" fontId="4" fillId="0" borderId="0" xfId="0" applyFont="1"/>
    <xf numFmtId="22" fontId="7" fillId="0" borderId="0" xfId="0" applyNumberFormat="1" applyFont="1" applyAlignment="1">
      <alignment horizontal="center"/>
    </xf>
    <xf numFmtId="22" fontId="7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numFmt numFmtId="164" formatCode="d/mm/yyyy\ h:mm"/>
      <alignment horizontal="center" vertical="center" textRotation="0" wrapText="0" indent="0" justifyLastLine="0" shrinkToFit="0" readingOrder="0"/>
    </dxf>
    <dxf>
      <numFmt numFmtId="164" formatCode="d/mm/yyyy\ h:mm"/>
      <alignment horizontal="center" vertical="center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CE7BE-4F18-4BDD-BA00-04793482FF1F}" name="Tabla1" displayName="Tabla1" ref="B3:K199" totalsRowShown="0" headerRowDxfId="4">
  <autoFilter ref="B3:K199" xr:uid="{3C3CE7BE-4F18-4BDD-BA00-04793482FF1F}"/>
  <tableColumns count="10">
    <tableColumn id="1" xr3:uid="{7665C41D-28BA-445F-A6C9-442F71E6190B}" name="SUB-Proyecto"/>
    <tableColumn id="11" xr3:uid="{A94B66F4-8C67-42CF-8C10-AEC4839378CF}" name="Centro de costo"/>
    <tableColumn id="2" xr3:uid="{5E15A7DA-C2AA-4506-8A40-1C51F2224133}" name="Codigo del documento"/>
    <tableColumn id="3" xr3:uid="{18D2DB4C-560F-4DD5-891C-9507A867002A}" name="Documento"/>
    <tableColumn id="5" xr3:uid="{6313E3A9-0BC8-4112-A76B-FBAFD0BED496}" name="Responsable"/>
    <tableColumn id="6" xr3:uid="{A570B029-3F4D-4091-BDBB-5E12F779DD33}" name="Cargo" dataDxfId="3">
      <calculatedColumnFormula>+VLOOKUP(Tabla1[[#This Row],[Responsable]],Hoja2!$B$19:$C$36,2,FALSE)</calculatedColumnFormula>
    </tableColumn>
    <tableColumn id="7" xr3:uid="{958FB410-74C3-4A90-BC98-CB2E0CBE3CD6}" name="Fecha y hora de incio" dataDxfId="2"/>
    <tableColumn id="8" xr3:uid="{A632569C-0AE6-4583-B55A-99EF4CF755B1}" name="Fecha y hora de Fin" dataDxfId="1"/>
    <tableColumn id="9" xr3:uid="{BE82FF2D-C6BF-4CE9-A95F-4E64B52321CF}" name="Horas" dataDxfId="0" dataCellStyle="Millares">
      <calculatedColumnFormula>+(Tabla1[[#This Row],[Fecha y hora de Fin]]-Tabla1[[#This Row],[Fecha y hora de incio]])*24</calculatedColumnFormula>
    </tableColumn>
    <tableColumn id="10" xr3:uid="{625C2CC3-9350-445C-9800-07AA86EA4C45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F021-4278-413D-BE84-30EF1F33979F}">
  <dimension ref="B1:K209"/>
  <sheetViews>
    <sheetView tabSelected="1" zoomScale="85" zoomScaleNormal="85" workbookViewId="0">
      <pane xSplit="2" ySplit="3" topLeftCell="C179" activePane="bottomRight" state="frozen"/>
      <selection pane="bottomRight" activeCell="A200" sqref="A200:XFD206"/>
      <selection pane="bottomLeft"/>
      <selection pane="topRight"/>
    </sheetView>
  </sheetViews>
  <sheetFormatPr defaultColWidth="11.42578125" defaultRowHeight="14.45"/>
  <cols>
    <col min="1" max="1" width="4.7109375" customWidth="1"/>
    <col min="2" max="2" width="40" customWidth="1"/>
    <col min="3" max="3" width="17.7109375" customWidth="1"/>
    <col min="4" max="4" width="38.42578125" customWidth="1"/>
    <col min="5" max="5" width="44.85546875" customWidth="1"/>
    <col min="6" max="6" width="62.140625" customWidth="1"/>
    <col min="7" max="7" width="24" customWidth="1"/>
    <col min="8" max="8" width="24.140625" bestFit="1" customWidth="1"/>
    <col min="9" max="9" width="22.85546875" bestFit="1" customWidth="1"/>
    <col min="10" max="10" width="13.140625" customWidth="1"/>
    <col min="11" max="11" width="65.42578125" customWidth="1"/>
    <col min="12" max="12" width="46.42578125" customWidth="1"/>
  </cols>
  <sheetData>
    <row r="1" spans="2:11" hidden="1"/>
    <row r="2" spans="2:11">
      <c r="B2" s="25" t="s">
        <v>0</v>
      </c>
      <c r="C2" s="25"/>
      <c r="D2" s="25"/>
      <c r="E2" s="25"/>
      <c r="F2" s="25"/>
      <c r="G2" s="25"/>
      <c r="H2" s="25"/>
      <c r="I2" s="25"/>
      <c r="J2" s="25"/>
      <c r="K2" s="25"/>
    </row>
    <row r="3" spans="2:1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2:11">
      <c r="B4" t="s">
        <v>11</v>
      </c>
      <c r="C4" s="5" t="s">
        <v>12</v>
      </c>
      <c r="F4" t="s">
        <v>13</v>
      </c>
      <c r="G4" t="str">
        <f>+VLOOKUP(Tabla1[[#This Row],[Responsable]],Hoja2!$B$19:$C$36,2,FALSE)</f>
        <v>PRACTICANTE ME</v>
      </c>
      <c r="H4" s="3">
        <v>46167.3125</v>
      </c>
      <c r="I4" s="3">
        <v>46167.5</v>
      </c>
      <c r="J4" s="1">
        <f>+(Tabla1[[#This Row],[Fecha y hora de Fin]]-Tabla1[[#This Row],[Fecha y hora de incio]])*24</f>
        <v>4.5</v>
      </c>
    </row>
    <row r="5" spans="2:11">
      <c r="C5" s="5" t="s">
        <v>12</v>
      </c>
      <c r="D5" t="s">
        <v>14</v>
      </c>
      <c r="E5" t="s">
        <v>14</v>
      </c>
      <c r="F5" t="s">
        <v>15</v>
      </c>
      <c r="G5" t="str">
        <f>+VLOOKUP(Tabla1[[#This Row],[Responsable]],Hoja2!$B$19:$C$36,2,FALSE)</f>
        <v>BIM</v>
      </c>
      <c r="H5" s="3"/>
      <c r="I5" s="3"/>
      <c r="J5" s="1">
        <f>+(Tabla1[[#This Row],[Fecha y hora de Fin]]-Tabla1[[#This Row],[Fecha y hora de incio]])*24</f>
        <v>0</v>
      </c>
    </row>
    <row r="6" spans="2:11">
      <c r="B6" t="s">
        <v>11</v>
      </c>
      <c r="C6" s="5" t="s">
        <v>12</v>
      </c>
      <c r="D6" t="s">
        <v>16</v>
      </c>
      <c r="E6" t="s">
        <v>17</v>
      </c>
      <c r="F6" t="s">
        <v>18</v>
      </c>
      <c r="G6" t="str">
        <f>+VLOOKUP(Tabla1[[#This Row],[Responsable]],Hoja2!$B$19:$C$36,2,FALSE)</f>
        <v>PRACTICANTE ME</v>
      </c>
      <c r="H6" s="3">
        <v>46167.3125</v>
      </c>
      <c r="I6" s="3">
        <v>46167.618055555555</v>
      </c>
      <c r="J6" s="1">
        <f>+(Tabla1[[#This Row],[Fecha y hora de Fin]]-Tabla1[[#This Row],[Fecha y hora de incio]])*24</f>
        <v>7.3333333333139308</v>
      </c>
      <c r="K6" t="s">
        <v>19</v>
      </c>
    </row>
    <row r="7" spans="2:11">
      <c r="B7" t="s">
        <v>20</v>
      </c>
      <c r="C7" s="5" t="s">
        <v>12</v>
      </c>
      <c r="D7" t="s">
        <v>21</v>
      </c>
      <c r="E7" t="s">
        <v>22</v>
      </c>
      <c r="F7" t="s">
        <v>23</v>
      </c>
      <c r="G7" t="str">
        <f>+VLOOKUP(Tabla1[[#This Row],[Responsable]],Hoja2!$B$19:$C$36,2,FALSE)</f>
        <v>MODELADOR OC</v>
      </c>
      <c r="H7" s="3">
        <v>46167.3125</v>
      </c>
      <c r="I7" s="3">
        <v>46167.75</v>
      </c>
      <c r="J7" s="1">
        <f>+(Tabla1[[#This Row],[Fecha y hora de Fin]]-Tabla1[[#This Row],[Fecha y hora de incio]])*24</f>
        <v>10.5</v>
      </c>
      <c r="K7" t="s">
        <v>19</v>
      </c>
    </row>
    <row r="8" spans="2:11">
      <c r="B8" t="s">
        <v>11</v>
      </c>
      <c r="C8" s="5" t="s">
        <v>12</v>
      </c>
      <c r="D8" t="s">
        <v>24</v>
      </c>
      <c r="E8" t="s">
        <v>25</v>
      </c>
      <c r="F8" t="s">
        <v>26</v>
      </c>
      <c r="G8" t="str">
        <f>+VLOOKUP(Tabla1[[#This Row],[Responsable]],Hoja2!$B$19:$C$36,2,FALSE)</f>
        <v>MODELADOR OC</v>
      </c>
      <c r="H8" s="3">
        <v>46167.3125</v>
      </c>
      <c r="I8" s="3">
        <v>46167.524305555555</v>
      </c>
      <c r="J8" s="1">
        <f>+(Tabla1[[#This Row],[Fecha y hora de Fin]]-Tabla1[[#This Row],[Fecha y hora de incio]])*24</f>
        <v>5.0833333333139308</v>
      </c>
      <c r="K8" t="s">
        <v>19</v>
      </c>
    </row>
    <row r="9" spans="2:11">
      <c r="B9" t="s">
        <v>11</v>
      </c>
      <c r="C9" s="5" t="s">
        <v>12</v>
      </c>
      <c r="D9" t="s">
        <v>27</v>
      </c>
      <c r="E9" t="s">
        <v>28</v>
      </c>
      <c r="F9" t="s">
        <v>26</v>
      </c>
      <c r="G9" t="str">
        <f>+VLOOKUP(Tabla1[[#This Row],[Responsable]],Hoja2!$B$19:$C$36,2,FALSE)</f>
        <v>MODELADOR OC</v>
      </c>
      <c r="H9" s="3">
        <v>46167.524305555555</v>
      </c>
      <c r="I9" s="3">
        <v>46167.638888888891</v>
      </c>
      <c r="J9" s="1">
        <f>+(Tabla1[[#This Row],[Fecha y hora de Fin]]-Tabla1[[#This Row],[Fecha y hora de incio]])*24</f>
        <v>2.7500000000582077</v>
      </c>
      <c r="K9" t="s">
        <v>19</v>
      </c>
    </row>
    <row r="10" spans="2:11">
      <c r="B10" t="s">
        <v>20</v>
      </c>
      <c r="C10" s="5" t="s">
        <v>12</v>
      </c>
      <c r="D10" t="s">
        <v>29</v>
      </c>
      <c r="E10" t="s">
        <v>30</v>
      </c>
      <c r="F10" t="s">
        <v>31</v>
      </c>
      <c r="G10" t="str">
        <f>+VLOOKUP(Tabla1[[#This Row],[Responsable]],Hoja2!$B$19:$C$36,2,FALSE)</f>
        <v>INGENIERO ME</v>
      </c>
      <c r="H10" s="3">
        <v>46167.583333333336</v>
      </c>
      <c r="I10" s="3">
        <v>46167.618055555555</v>
      </c>
      <c r="J10" s="1">
        <f>+(Tabla1[[#This Row],[Fecha y hora de Fin]]-Tabla1[[#This Row],[Fecha y hora de incio]])*24</f>
        <v>0.83333333325572312</v>
      </c>
      <c r="K10" t="s">
        <v>32</v>
      </c>
    </row>
    <row r="11" spans="2:11">
      <c r="B11" t="s">
        <v>33</v>
      </c>
      <c r="C11" s="16" t="s">
        <v>34</v>
      </c>
      <c r="F11" t="s">
        <v>35</v>
      </c>
      <c r="G11" t="str">
        <f>+VLOOKUP(Tabla1[[#This Row],[Responsable]],Hoja2!$B$19:$C$36,2,FALSE)</f>
        <v>MODELADOR OC</v>
      </c>
      <c r="H11" s="3">
        <v>46167.3125</v>
      </c>
      <c r="I11" s="3">
        <v>46169.75</v>
      </c>
      <c r="J11" s="1">
        <f>+(Tabla1[[#This Row],[Fecha y hora de Fin]]-Tabla1[[#This Row],[Fecha y hora de incio]])*24</f>
        <v>58.5</v>
      </c>
      <c r="K11" t="s">
        <v>36</v>
      </c>
    </row>
    <row r="12" spans="2:11">
      <c r="B12" t="s">
        <v>20</v>
      </c>
      <c r="C12" s="5" t="s">
        <v>12</v>
      </c>
      <c r="D12" s="17" t="s">
        <v>37</v>
      </c>
      <c r="E12" t="s">
        <v>38</v>
      </c>
      <c r="F12" t="s">
        <v>39</v>
      </c>
      <c r="G12" t="str">
        <f>+VLOOKUP(Tabla1[[#This Row],[Responsable]],Hoja2!$B$19:$C$36,2,FALSE)</f>
        <v>MODELADOR ME</v>
      </c>
      <c r="H12" s="3">
        <v>46164.3125</v>
      </c>
      <c r="I12" s="3">
        <v>46164.5625</v>
      </c>
      <c r="J12" s="1">
        <f>+(Tabla1[[#This Row],[Fecha y hora de Fin]]-Tabla1[[#This Row],[Fecha y hora de incio]])*24</f>
        <v>6</v>
      </c>
      <c r="K12" t="s">
        <v>19</v>
      </c>
    </row>
    <row r="13" spans="2:11">
      <c r="B13" t="s">
        <v>20</v>
      </c>
      <c r="C13" s="5" t="s">
        <v>12</v>
      </c>
      <c r="D13" s="17" t="s">
        <v>40</v>
      </c>
      <c r="E13" t="s">
        <v>41</v>
      </c>
      <c r="F13" t="s">
        <v>39</v>
      </c>
      <c r="G13" t="str">
        <f>+VLOOKUP(Tabla1[[#This Row],[Responsable]],Hoja2!$B$19:$C$36,2,FALSE)</f>
        <v>MODELADOR ME</v>
      </c>
      <c r="H13" s="3">
        <v>46167.3125</v>
      </c>
      <c r="I13" s="3">
        <v>46167.75</v>
      </c>
      <c r="J13" s="1">
        <f>+(Tabla1[[#This Row],[Fecha y hora de Fin]]-Tabla1[[#This Row],[Fecha y hora de incio]])*24</f>
        <v>10.5</v>
      </c>
      <c r="K13" t="s">
        <v>19</v>
      </c>
    </row>
    <row r="14" spans="2:11">
      <c r="B14" t="s">
        <v>20</v>
      </c>
      <c r="C14" s="5" t="s">
        <v>12</v>
      </c>
      <c r="D14" s="17" t="s">
        <v>40</v>
      </c>
      <c r="E14" t="s">
        <v>41</v>
      </c>
      <c r="F14" t="s">
        <v>39</v>
      </c>
      <c r="G14" t="str">
        <f>+VLOOKUP(Tabla1[[#This Row],[Responsable]],Hoja2!$B$19:$C$36,2,FALSE)</f>
        <v>MODELADOR ME</v>
      </c>
      <c r="H14" s="3">
        <v>46168.3125</v>
      </c>
      <c r="I14" s="3">
        <v>46168.75</v>
      </c>
      <c r="J14" s="1">
        <f>+(Tabla1[[#This Row],[Fecha y hora de Fin]]-Tabla1[[#This Row],[Fecha y hora de incio]])*24</f>
        <v>10.5</v>
      </c>
      <c r="K14" t="s">
        <v>19</v>
      </c>
    </row>
    <row r="15" spans="2:11">
      <c r="B15" t="s">
        <v>42</v>
      </c>
      <c r="C15" s="5" t="s">
        <v>12</v>
      </c>
      <c r="D15" s="17" t="s">
        <v>43</v>
      </c>
      <c r="E15" t="s">
        <v>44</v>
      </c>
      <c r="F15" t="s">
        <v>45</v>
      </c>
      <c r="G15" t="str">
        <f>+VLOOKUP(Tabla1[[#This Row],[Responsable]],Hoja2!$B$19:$C$36,2,FALSE)</f>
        <v>MODELADOR OC</v>
      </c>
      <c r="H15" s="3">
        <v>46167.3125</v>
      </c>
      <c r="I15" s="3">
        <v>46167.75</v>
      </c>
      <c r="J15" s="1">
        <f>+(Tabla1[[#This Row],[Fecha y hora de Fin]]-Tabla1[[#This Row],[Fecha y hora de incio]])*24</f>
        <v>10.5</v>
      </c>
      <c r="K15" t="s">
        <v>46</v>
      </c>
    </row>
    <row r="16" spans="2:11">
      <c r="B16" t="s">
        <v>20</v>
      </c>
      <c r="C16" s="5" t="s">
        <v>12</v>
      </c>
      <c r="D16" t="s">
        <v>47</v>
      </c>
      <c r="E16" t="s">
        <v>48</v>
      </c>
      <c r="F16" t="s">
        <v>18</v>
      </c>
      <c r="G16" t="str">
        <f>+VLOOKUP(Tabla1[[#This Row],[Responsable]],Hoja2!$B$19:$C$36,2,FALSE)</f>
        <v>PRACTICANTE ME</v>
      </c>
      <c r="H16" s="3">
        <v>46167.630555555559</v>
      </c>
      <c r="I16" s="3">
        <v>46167.75</v>
      </c>
      <c r="J16" s="1">
        <f>+(Tabla1[[#This Row],[Fecha y hora de Fin]]-Tabla1[[#This Row],[Fecha y hora de incio]])*24</f>
        <v>2.8666666665812954</v>
      </c>
      <c r="K16" t="s">
        <v>46</v>
      </c>
    </row>
    <row r="17" spans="2:11">
      <c r="B17" t="s">
        <v>49</v>
      </c>
      <c r="C17" s="5" t="s">
        <v>12</v>
      </c>
      <c r="D17" t="s">
        <v>50</v>
      </c>
      <c r="E17" t="s">
        <v>51</v>
      </c>
      <c r="F17" t="s">
        <v>52</v>
      </c>
      <c r="G17" t="str">
        <f>+VLOOKUP(Tabla1[[#This Row],[Responsable]],Hoja2!$B$19:$C$36,2,FALSE)</f>
        <v>MODELADOR ME</v>
      </c>
      <c r="H17" s="3">
        <v>46163.3125</v>
      </c>
      <c r="I17" s="3">
        <v>46163.75</v>
      </c>
      <c r="J17" s="1">
        <f>+(Tabla1[[#This Row],[Fecha y hora de Fin]]-Tabla1[[#This Row],[Fecha y hora de incio]])*24</f>
        <v>10.5</v>
      </c>
      <c r="K17" t="s">
        <v>19</v>
      </c>
    </row>
    <row r="18" spans="2:11">
      <c r="B18" t="s">
        <v>11</v>
      </c>
      <c r="C18" s="5" t="s">
        <v>12</v>
      </c>
      <c r="D18" t="s">
        <v>53</v>
      </c>
      <c r="E18" t="s">
        <v>41</v>
      </c>
      <c r="F18" t="s">
        <v>52</v>
      </c>
      <c r="G18" t="str">
        <f>+VLOOKUP(Tabla1[[#This Row],[Responsable]],Hoja2!$B$19:$C$36,2,FALSE)</f>
        <v>MODELADOR ME</v>
      </c>
      <c r="H18" s="3">
        <v>46164.3125</v>
      </c>
      <c r="I18" s="3">
        <v>46164.5625</v>
      </c>
      <c r="J18" s="1">
        <f>+(Tabla1[[#This Row],[Fecha y hora de Fin]]-Tabla1[[#This Row],[Fecha y hora de incio]])*24</f>
        <v>6</v>
      </c>
      <c r="K18" t="s">
        <v>19</v>
      </c>
    </row>
    <row r="19" spans="2:11">
      <c r="B19" t="s">
        <v>49</v>
      </c>
      <c r="C19" s="5" t="s">
        <v>12</v>
      </c>
      <c r="D19" t="s">
        <v>50</v>
      </c>
      <c r="E19" t="s">
        <v>51</v>
      </c>
      <c r="F19" t="s">
        <v>52</v>
      </c>
      <c r="G19" t="str">
        <f>+VLOOKUP(Tabla1[[#This Row],[Responsable]],Hoja2!$B$19:$C$36,2,FALSE)</f>
        <v>MODELADOR ME</v>
      </c>
      <c r="H19" s="3">
        <v>46167.3125</v>
      </c>
      <c r="I19" s="3">
        <v>46167.541666666664</v>
      </c>
      <c r="J19" s="1">
        <f>+(Tabla1[[#This Row],[Fecha y hora de Fin]]-Tabla1[[#This Row],[Fecha y hora de incio]])*24</f>
        <v>5.4999999999417923</v>
      </c>
      <c r="K19" t="s">
        <v>19</v>
      </c>
    </row>
    <row r="20" spans="2:11">
      <c r="B20" t="s">
        <v>11</v>
      </c>
      <c r="C20" s="5" t="s">
        <v>12</v>
      </c>
      <c r="D20" t="s">
        <v>53</v>
      </c>
      <c r="E20" t="s">
        <v>41</v>
      </c>
      <c r="F20" t="s">
        <v>52</v>
      </c>
      <c r="G20" t="str">
        <f>+VLOOKUP(Tabla1[[#This Row],[Responsable]],Hoja2!$B$19:$C$36,2,FALSE)</f>
        <v>MODELADOR ME</v>
      </c>
      <c r="H20" s="3">
        <v>46167.541666666664</v>
      </c>
      <c r="I20" s="3">
        <v>46167.75</v>
      </c>
      <c r="J20" s="1">
        <f>+(Tabla1[[#This Row],[Fecha y hora de Fin]]-Tabla1[[#This Row],[Fecha y hora de incio]])*24</f>
        <v>5.0000000000582077</v>
      </c>
      <c r="K20" t="s">
        <v>19</v>
      </c>
    </row>
    <row r="21" spans="2:11">
      <c r="B21" t="s">
        <v>20</v>
      </c>
      <c r="C21" s="5" t="s">
        <v>12</v>
      </c>
      <c r="D21" t="s">
        <v>47</v>
      </c>
      <c r="E21" t="s">
        <v>48</v>
      </c>
      <c r="F21" t="s">
        <v>31</v>
      </c>
      <c r="G21" t="str">
        <f>+VLOOKUP(Tabla1[[#This Row],[Responsable]],Hoja2!$B$19:$C$36,2,FALSE)</f>
        <v>INGENIERO ME</v>
      </c>
      <c r="H21" s="3">
        <v>46167.618055555555</v>
      </c>
      <c r="I21" s="3">
        <v>46167.635416666664</v>
      </c>
      <c r="J21" s="1">
        <f>+(Tabla1[[#This Row],[Fecha y hora de Fin]]-Tabla1[[#This Row],[Fecha y hora de incio]])*24</f>
        <v>0.41666666662786156</v>
      </c>
      <c r="K21" t="s">
        <v>54</v>
      </c>
    </row>
    <row r="22" spans="2:11">
      <c r="B22" t="s">
        <v>33</v>
      </c>
      <c r="C22" s="16" t="s">
        <v>34</v>
      </c>
      <c r="D22" t="s">
        <v>55</v>
      </c>
      <c r="E22" t="s">
        <v>56</v>
      </c>
      <c r="F22" t="s">
        <v>57</v>
      </c>
      <c r="G22" t="str">
        <f>+VLOOKUP(Tabla1[[#This Row],[Responsable]],Hoja2!$B$19:$C$36,2,FALSE)</f>
        <v>MODELADOR ME</v>
      </c>
      <c r="H22" s="3">
        <v>46167.3125</v>
      </c>
      <c r="I22" s="3">
        <v>46167.75</v>
      </c>
      <c r="J22" s="1">
        <f>+(Tabla1[[#This Row],[Fecha y hora de Fin]]-Tabla1[[#This Row],[Fecha y hora de incio]])*24</f>
        <v>10.5</v>
      </c>
      <c r="K22" t="s">
        <v>58</v>
      </c>
    </row>
    <row r="23" spans="2:11">
      <c r="B23" t="s">
        <v>42</v>
      </c>
      <c r="C23" s="16" t="s">
        <v>34</v>
      </c>
      <c r="D23" t="s">
        <v>59</v>
      </c>
      <c r="E23" t="s">
        <v>60</v>
      </c>
      <c r="F23" t="s">
        <v>57</v>
      </c>
      <c r="G23" t="str">
        <f>+VLOOKUP(Tabla1[[#This Row],[Responsable]],Hoja2!$B$19:$C$36,2,FALSE)</f>
        <v>MODELADOR ME</v>
      </c>
      <c r="H23" s="3">
        <v>46168.3125</v>
      </c>
      <c r="I23" s="3">
        <v>46170.75</v>
      </c>
      <c r="J23" s="1">
        <f>+(Tabla1[[#This Row],[Fecha y hora de Fin]]-Tabla1[[#This Row],[Fecha y hora de incio]])*24</f>
        <v>58.5</v>
      </c>
      <c r="K23" t="s">
        <v>61</v>
      </c>
    </row>
    <row r="24" spans="2:11">
      <c r="B24" t="s">
        <v>62</v>
      </c>
      <c r="C24" s="5" t="s">
        <v>12</v>
      </c>
      <c r="D24" t="s">
        <v>63</v>
      </c>
      <c r="E24" t="s">
        <v>64</v>
      </c>
      <c r="F24" t="s">
        <v>65</v>
      </c>
      <c r="G24" t="str">
        <f>+VLOOKUP(Tabla1[[#This Row],[Responsable]],Hoja2!$B$19:$C$36,2,FALSE)</f>
        <v>MODELADOR ME</v>
      </c>
      <c r="H24" s="3">
        <v>46167.45416666667</v>
      </c>
      <c r="I24" s="3">
        <v>46167.479166666664</v>
      </c>
      <c r="J24" s="1">
        <f>+(Tabla1[[#This Row],[Fecha y hora de Fin]]-Tabla1[[#This Row],[Fecha y hora de incio]])*24</f>
        <v>0.59999999986030161</v>
      </c>
      <c r="K24" t="s">
        <v>66</v>
      </c>
    </row>
    <row r="25" spans="2:11">
      <c r="B25" t="s">
        <v>62</v>
      </c>
      <c r="C25" s="5" t="s">
        <v>12</v>
      </c>
      <c r="D25" t="s">
        <v>67</v>
      </c>
      <c r="E25" t="s">
        <v>68</v>
      </c>
      <c r="F25" t="s">
        <v>65</v>
      </c>
      <c r="G25" t="str">
        <f>+VLOOKUP(Tabla1[[#This Row],[Responsable]],Hoja2!$B$19:$C$36,2,FALSE)</f>
        <v>MODELADOR ME</v>
      </c>
      <c r="H25" s="3">
        <v>46167.3125</v>
      </c>
      <c r="I25" s="3">
        <v>46167.392361111109</v>
      </c>
      <c r="J25" s="1">
        <f>+(Tabla1[[#This Row],[Fecha y hora de Fin]]-Tabla1[[#This Row],[Fecha y hora de incio]])*24</f>
        <v>1.9166666666278616</v>
      </c>
      <c r="K25" t="s">
        <v>69</v>
      </c>
    </row>
    <row r="26" spans="2:11">
      <c r="B26" t="s">
        <v>62</v>
      </c>
      <c r="C26" s="5" t="s">
        <v>12</v>
      </c>
      <c r="D26" t="s">
        <v>70</v>
      </c>
      <c r="E26" t="s">
        <v>71</v>
      </c>
      <c r="F26" t="s">
        <v>65</v>
      </c>
      <c r="G26" t="str">
        <f>+VLOOKUP(Tabla1[[#This Row],[Responsable]],Hoja2!$B$19:$C$36,2,FALSE)</f>
        <v>MODELADOR ME</v>
      </c>
      <c r="H26" s="3">
        <v>46167.458333333336</v>
      </c>
      <c r="I26" s="3">
        <v>46167.486111111109</v>
      </c>
      <c r="J26" s="1">
        <f>+(Tabla1[[#This Row],[Fecha y hora de Fin]]-Tabla1[[#This Row],[Fecha y hora de incio]])*24</f>
        <v>0.6666666665696539</v>
      </c>
      <c r="K26" t="s">
        <v>72</v>
      </c>
    </row>
    <row r="27" spans="2:11">
      <c r="B27" t="s">
        <v>62</v>
      </c>
      <c r="C27" s="5" t="s">
        <v>12</v>
      </c>
      <c r="D27" t="s">
        <v>73</v>
      </c>
      <c r="E27" t="s">
        <v>74</v>
      </c>
      <c r="F27" t="s">
        <v>65</v>
      </c>
      <c r="G27" t="str">
        <f>+VLOOKUP(Tabla1[[#This Row],[Responsable]],Hoja2!$B$19:$C$36,2,FALSE)</f>
        <v>MODELADOR ME</v>
      </c>
      <c r="H27" s="3">
        <v>46167.677083333336</v>
      </c>
      <c r="I27" s="3">
        <v>46167.75</v>
      </c>
      <c r="J27" s="1">
        <f>+(Tabla1[[#This Row],[Fecha y hora de Fin]]-Tabla1[[#This Row],[Fecha y hora de incio]])*24</f>
        <v>1.7499999999417923</v>
      </c>
      <c r="K27" t="s">
        <v>75</v>
      </c>
    </row>
    <row r="28" spans="2:11">
      <c r="B28" t="s">
        <v>62</v>
      </c>
      <c r="C28" s="5" t="s">
        <v>12</v>
      </c>
      <c r="D28" t="s">
        <v>76</v>
      </c>
      <c r="E28" t="s">
        <v>77</v>
      </c>
      <c r="F28" t="s">
        <v>65</v>
      </c>
      <c r="G28" t="str">
        <f>+VLOOKUP(Tabla1[[#This Row],[Responsable]],Hoja2!$B$19:$C$36,2,FALSE)</f>
        <v>MODELADOR ME</v>
      </c>
      <c r="H28" s="3">
        <v>46167.447222222225</v>
      </c>
      <c r="I28" s="3">
        <v>46167.677083333336</v>
      </c>
      <c r="J28" s="1">
        <f>+(Tabla1[[#This Row],[Fecha y hora de Fin]]-Tabla1[[#This Row],[Fecha y hora de incio]])*24</f>
        <v>5.5166666666627862</v>
      </c>
      <c r="K28" t="s">
        <v>66</v>
      </c>
    </row>
    <row r="29" spans="2:11">
      <c r="B29" t="s">
        <v>78</v>
      </c>
      <c r="C29" s="16" t="s">
        <v>79</v>
      </c>
      <c r="D29" t="s">
        <v>80</v>
      </c>
      <c r="E29" t="s">
        <v>81</v>
      </c>
      <c r="F29" t="s">
        <v>82</v>
      </c>
      <c r="G29" t="str">
        <f>+VLOOKUP(Tabla1[[#This Row],[Responsable]],Hoja2!$B$19:$C$36,2,FALSE)</f>
        <v>MODELADOR ME</v>
      </c>
      <c r="H29" s="3">
        <v>46167.3125</v>
      </c>
      <c r="I29" s="3">
        <v>46167.708333333336</v>
      </c>
      <c r="J29" s="1">
        <f>+(Tabla1[[#This Row],[Fecha y hora de Fin]]-Tabla1[[#This Row],[Fecha y hora de incio]])*24</f>
        <v>9.5000000000582077</v>
      </c>
      <c r="K29" t="s">
        <v>83</v>
      </c>
    </row>
    <row r="30" spans="2:11">
      <c r="B30" t="s">
        <v>84</v>
      </c>
      <c r="C30" s="5" t="s">
        <v>12</v>
      </c>
      <c r="D30" t="s">
        <v>85</v>
      </c>
      <c r="E30" t="s">
        <v>86</v>
      </c>
      <c r="F30" t="s">
        <v>82</v>
      </c>
      <c r="G30" t="str">
        <f>+VLOOKUP(Tabla1[[#This Row],[Responsable]],Hoja2!$B$19:$C$36,2,FALSE)</f>
        <v>MODELADOR ME</v>
      </c>
      <c r="H30" s="3">
        <v>46168.3125</v>
      </c>
      <c r="I30" s="3">
        <v>46168.708333333336</v>
      </c>
      <c r="J30" s="1">
        <f>+(Tabla1[[#This Row],[Fecha y hora de Fin]]-Tabla1[[#This Row],[Fecha y hora de incio]])*24</f>
        <v>9.5000000000582077</v>
      </c>
      <c r="K30" t="s">
        <v>87</v>
      </c>
    </row>
    <row r="31" spans="2:11">
      <c r="B31" t="s">
        <v>78</v>
      </c>
      <c r="C31" s="16" t="s">
        <v>79</v>
      </c>
      <c r="D31" t="s">
        <v>80</v>
      </c>
      <c r="E31" t="s">
        <v>81</v>
      </c>
      <c r="F31" t="s">
        <v>82</v>
      </c>
      <c r="G31" t="str">
        <f>+VLOOKUP(Tabla1[[#This Row],[Responsable]],Hoja2!$B$19:$C$36,2,FALSE)</f>
        <v>MODELADOR ME</v>
      </c>
      <c r="H31" s="3">
        <v>46169.3125</v>
      </c>
      <c r="I31" s="3">
        <v>46169.75</v>
      </c>
      <c r="J31" s="1">
        <f>+(Tabla1[[#This Row],[Fecha y hora de Fin]]-Tabla1[[#This Row],[Fecha y hora de incio]])*24</f>
        <v>10.5</v>
      </c>
      <c r="K31" t="s">
        <v>83</v>
      </c>
    </row>
    <row r="32" spans="2:11">
      <c r="B32" t="s">
        <v>62</v>
      </c>
      <c r="C32" s="5" t="s">
        <v>12</v>
      </c>
      <c r="D32" t="s">
        <v>88</v>
      </c>
      <c r="E32" t="s">
        <v>86</v>
      </c>
      <c r="F32" t="s">
        <v>82</v>
      </c>
      <c r="G32" t="str">
        <f>+VLOOKUP(Tabla1[[#This Row],[Responsable]],Hoja2!$B$19:$C$36,2,FALSE)</f>
        <v>MODELADOR ME</v>
      </c>
      <c r="H32" s="3">
        <v>46170.3125</v>
      </c>
      <c r="I32" s="3">
        <v>46170.708333333336</v>
      </c>
      <c r="J32" s="1">
        <f>+(Tabla1[[#This Row],[Fecha y hora de Fin]]-Tabla1[[#This Row],[Fecha y hora de incio]])*24</f>
        <v>9.5000000000582077</v>
      </c>
      <c r="K32" t="s">
        <v>46</v>
      </c>
    </row>
    <row r="33" spans="2:11">
      <c r="B33" t="s">
        <v>62</v>
      </c>
      <c r="C33" s="5" t="s">
        <v>12</v>
      </c>
      <c r="D33" t="s">
        <v>88</v>
      </c>
      <c r="E33" t="s">
        <v>86</v>
      </c>
      <c r="F33" t="s">
        <v>82</v>
      </c>
      <c r="G33" t="str">
        <f>+VLOOKUP(Tabla1[[#This Row],[Responsable]],Hoja2!$B$19:$C$36,2,FALSE)</f>
        <v>MODELADOR ME</v>
      </c>
      <c r="H33" s="3">
        <v>46171.3125</v>
      </c>
      <c r="I33" s="3">
        <v>46171.5625</v>
      </c>
      <c r="J33" s="1">
        <f>+(Tabla1[[#This Row],[Fecha y hora de Fin]]-Tabla1[[#This Row],[Fecha y hora de incio]])*24</f>
        <v>6</v>
      </c>
      <c r="K33" t="s">
        <v>46</v>
      </c>
    </row>
    <row r="34" spans="2:11">
      <c r="B34" t="s">
        <v>62</v>
      </c>
      <c r="C34" s="5" t="s">
        <v>12</v>
      </c>
      <c r="D34" t="s">
        <v>88</v>
      </c>
      <c r="E34" t="s">
        <v>86</v>
      </c>
      <c r="F34" t="s">
        <v>82</v>
      </c>
      <c r="G34" t="str">
        <f>+VLOOKUP(Tabla1[[#This Row],[Responsable]],Hoja2!$B$19:$C$36,2,FALSE)</f>
        <v>MODELADOR ME</v>
      </c>
      <c r="H34" s="3">
        <v>46174.3125</v>
      </c>
      <c r="I34" s="3">
        <v>46174.708333333336</v>
      </c>
      <c r="J34" s="1">
        <f>+(Tabla1[[#This Row],[Fecha y hora de Fin]]-Tabla1[[#This Row],[Fecha y hora de incio]])*24</f>
        <v>9.5000000000582077</v>
      </c>
      <c r="K34" t="s">
        <v>46</v>
      </c>
    </row>
    <row r="35" spans="2:11">
      <c r="B35" t="s">
        <v>62</v>
      </c>
      <c r="C35" s="5" t="s">
        <v>12</v>
      </c>
      <c r="D35" t="s">
        <v>88</v>
      </c>
      <c r="E35" t="s">
        <v>86</v>
      </c>
      <c r="F35" t="s">
        <v>82</v>
      </c>
      <c r="G35" t="str">
        <f>+VLOOKUP(Tabla1[[#This Row],[Responsable]],Hoja2!$B$19:$C$36,2,FALSE)</f>
        <v>MODELADOR ME</v>
      </c>
      <c r="H35" s="3">
        <v>46175.3125</v>
      </c>
      <c r="I35" s="3">
        <v>46175.708333333336</v>
      </c>
      <c r="J35" s="1">
        <f>+(Tabla1[[#This Row],[Fecha y hora de Fin]]-Tabla1[[#This Row],[Fecha y hora de incio]])*24</f>
        <v>9.5000000000582077</v>
      </c>
      <c r="K35" t="s">
        <v>46</v>
      </c>
    </row>
    <row r="36" spans="2:11">
      <c r="B36" t="s">
        <v>62</v>
      </c>
      <c r="C36" s="5" t="s">
        <v>12</v>
      </c>
      <c r="D36" t="s">
        <v>88</v>
      </c>
      <c r="E36" t="s">
        <v>86</v>
      </c>
      <c r="F36" t="s">
        <v>82</v>
      </c>
      <c r="G36" t="str">
        <f>+VLOOKUP(Tabla1[[#This Row],[Responsable]],Hoja2!$B$19:$C$36,2,FALSE)</f>
        <v>MODELADOR ME</v>
      </c>
      <c r="H36" s="3">
        <v>46176.3125</v>
      </c>
      <c r="I36" s="3">
        <v>46176.708333333336</v>
      </c>
      <c r="J36" s="1">
        <f>+(Tabla1[[#This Row],[Fecha y hora de Fin]]-Tabla1[[#This Row],[Fecha y hora de incio]])*24</f>
        <v>9.5000000000582077</v>
      </c>
      <c r="K36" t="s">
        <v>46</v>
      </c>
    </row>
    <row r="37" spans="2:11">
      <c r="B37" t="s">
        <v>62</v>
      </c>
      <c r="C37" s="5" t="s">
        <v>12</v>
      </c>
      <c r="D37" t="s">
        <v>88</v>
      </c>
      <c r="E37" t="s">
        <v>86</v>
      </c>
      <c r="F37" t="s">
        <v>82</v>
      </c>
      <c r="G37" t="str">
        <f>+VLOOKUP(Tabla1[[#This Row],[Responsable]],Hoja2!$B$19:$C$36,2,FALSE)</f>
        <v>MODELADOR ME</v>
      </c>
      <c r="H37" s="3">
        <v>46177.3125</v>
      </c>
      <c r="I37" s="3">
        <v>46177.708333333336</v>
      </c>
      <c r="J37" s="1">
        <f>+(Tabla1[[#This Row],[Fecha y hora de Fin]]-Tabla1[[#This Row],[Fecha y hora de incio]])*24</f>
        <v>9.5000000000582077</v>
      </c>
      <c r="K37" t="s">
        <v>46</v>
      </c>
    </row>
    <row r="38" spans="2:11">
      <c r="B38" t="s">
        <v>62</v>
      </c>
      <c r="C38" s="5" t="s">
        <v>12</v>
      </c>
      <c r="D38" t="s">
        <v>88</v>
      </c>
      <c r="E38" t="s">
        <v>86</v>
      </c>
      <c r="F38" t="s">
        <v>82</v>
      </c>
      <c r="G38" t="str">
        <f>+VLOOKUP(Tabla1[[#This Row],[Responsable]],Hoja2!$B$19:$C$36,2,FALSE)</f>
        <v>MODELADOR ME</v>
      </c>
      <c r="H38" s="3">
        <v>46178.3125</v>
      </c>
      <c r="I38" s="3">
        <v>46178.5625</v>
      </c>
      <c r="J38" s="1">
        <f>+(Tabla1[[#This Row],[Fecha y hora de Fin]]-Tabla1[[#This Row],[Fecha y hora de incio]])*24</f>
        <v>6</v>
      </c>
      <c r="K38" t="s">
        <v>46</v>
      </c>
    </row>
    <row r="39" spans="2:11">
      <c r="B39" t="s">
        <v>78</v>
      </c>
      <c r="C39" s="16" t="s">
        <v>79</v>
      </c>
      <c r="D39" t="s">
        <v>80</v>
      </c>
      <c r="E39" t="s">
        <v>81</v>
      </c>
      <c r="F39" t="s">
        <v>82</v>
      </c>
      <c r="G39" t="str">
        <f>+VLOOKUP(Tabla1[[#This Row],[Responsable]],Hoja2!$B$19:$C$36,2,FALSE)</f>
        <v>MODELADOR ME</v>
      </c>
      <c r="H39" s="3">
        <v>46182.3125</v>
      </c>
      <c r="I39" s="3">
        <v>46182.708333333336</v>
      </c>
      <c r="J39" s="1">
        <f>+(Tabla1[[#This Row],[Fecha y hora de Fin]]-Tabla1[[#This Row],[Fecha y hora de incio]])*24</f>
        <v>9.5000000000582077</v>
      </c>
      <c r="K39" t="s">
        <v>83</v>
      </c>
    </row>
    <row r="40" spans="2:11">
      <c r="B40" t="s">
        <v>78</v>
      </c>
      <c r="C40" s="16" t="s">
        <v>79</v>
      </c>
      <c r="D40" t="s">
        <v>80</v>
      </c>
      <c r="E40" t="s">
        <v>81</v>
      </c>
      <c r="F40" t="s">
        <v>82</v>
      </c>
      <c r="G40" t="str">
        <f>+VLOOKUP(Tabla1[[#This Row],[Responsable]],Hoja2!$B$19:$C$36,2,FALSE)</f>
        <v>MODELADOR ME</v>
      </c>
      <c r="H40" s="3">
        <v>46183.3125</v>
      </c>
      <c r="I40" s="3">
        <v>46183.708333333336</v>
      </c>
      <c r="J40" s="1">
        <f>+(Tabla1[[#This Row],[Fecha y hora de Fin]]-Tabla1[[#This Row],[Fecha y hora de incio]])*24</f>
        <v>9.5000000000582077</v>
      </c>
      <c r="K40" t="s">
        <v>83</v>
      </c>
    </row>
    <row r="41" spans="2:11">
      <c r="B41" t="s">
        <v>78</v>
      </c>
      <c r="C41" s="16" t="s">
        <v>79</v>
      </c>
      <c r="D41" t="s">
        <v>80</v>
      </c>
      <c r="E41" t="s">
        <v>81</v>
      </c>
      <c r="F41" t="s">
        <v>82</v>
      </c>
      <c r="G41" t="str">
        <f>+VLOOKUP(Tabla1[[#This Row],[Responsable]],Hoja2!$B$19:$C$36,2,FALSE)</f>
        <v>MODELADOR ME</v>
      </c>
      <c r="H41" s="3">
        <v>46184.3125</v>
      </c>
      <c r="I41" s="3">
        <v>46184.708333333336</v>
      </c>
      <c r="J41" s="1">
        <f>+(Tabla1[[#This Row],[Fecha y hora de Fin]]-Tabla1[[#This Row],[Fecha y hora de incio]])*24</f>
        <v>9.5000000000582077</v>
      </c>
      <c r="K41" t="s">
        <v>83</v>
      </c>
    </row>
    <row r="42" spans="2:11">
      <c r="B42" t="s">
        <v>78</v>
      </c>
      <c r="C42" s="16" t="s">
        <v>79</v>
      </c>
      <c r="D42" t="s">
        <v>80</v>
      </c>
      <c r="E42" t="s">
        <v>81</v>
      </c>
      <c r="F42" t="s">
        <v>82</v>
      </c>
      <c r="G42" t="str">
        <f>+VLOOKUP(Tabla1[[#This Row],[Responsable]],Hoja2!$B$19:$C$36,2,FALSE)</f>
        <v>MODELADOR ME</v>
      </c>
      <c r="H42" s="3">
        <v>46185.3125</v>
      </c>
      <c r="I42" s="3">
        <v>46185.5625</v>
      </c>
      <c r="J42" s="1">
        <f>+(Tabla1[[#This Row],[Fecha y hora de Fin]]-Tabla1[[#This Row],[Fecha y hora de incio]])*24</f>
        <v>6</v>
      </c>
      <c r="K42" t="s">
        <v>83</v>
      </c>
    </row>
    <row r="43" spans="2:11">
      <c r="B43" t="s">
        <v>11</v>
      </c>
      <c r="C43" s="5" t="s">
        <v>12</v>
      </c>
      <c r="D43" t="s">
        <v>89</v>
      </c>
      <c r="E43" t="s">
        <v>22</v>
      </c>
      <c r="F43" t="s">
        <v>26</v>
      </c>
      <c r="G43" t="str">
        <f>+VLOOKUP(Tabla1[[#This Row],[Responsable]],Hoja2!$B$19:$C$36,2,FALSE)</f>
        <v>MODELADOR OC</v>
      </c>
      <c r="H43" s="3">
        <v>46167.638888888891</v>
      </c>
      <c r="I43" s="3">
        <v>46169.75</v>
      </c>
      <c r="J43" s="1">
        <f>+(Tabla1[[#This Row],[Fecha y hora de Fin]]-Tabla1[[#This Row],[Fecha y hora de incio]])*24</f>
        <v>50.666666666627862</v>
      </c>
      <c r="K43" t="s">
        <v>19</v>
      </c>
    </row>
    <row r="44" spans="2:11">
      <c r="B44" t="s">
        <v>11</v>
      </c>
      <c r="C44" s="5" t="s">
        <v>12</v>
      </c>
      <c r="D44" t="s">
        <v>90</v>
      </c>
      <c r="E44" t="s">
        <v>91</v>
      </c>
      <c r="F44" t="s">
        <v>26</v>
      </c>
      <c r="G44" t="str">
        <f>+VLOOKUP(Tabla1[[#This Row],[Responsable]],Hoja2!$B$19:$C$36,2,FALSE)</f>
        <v>MODELADOR OC</v>
      </c>
      <c r="H44" s="3">
        <v>46170.3125</v>
      </c>
      <c r="I44" s="3">
        <v>46170.541666666664</v>
      </c>
      <c r="J44" s="1">
        <f>+(Tabla1[[#This Row],[Fecha y hora de Fin]]-Tabla1[[#This Row],[Fecha y hora de incio]])*24</f>
        <v>5.4999999999417923</v>
      </c>
      <c r="K44" t="s">
        <v>19</v>
      </c>
    </row>
    <row r="45" spans="2:11">
      <c r="B45" t="s">
        <v>92</v>
      </c>
      <c r="C45" s="16" t="s">
        <v>34</v>
      </c>
      <c r="D45" t="s">
        <v>93</v>
      </c>
      <c r="E45" t="s">
        <v>94</v>
      </c>
      <c r="F45" t="s">
        <v>95</v>
      </c>
      <c r="G45" t="str">
        <f>+VLOOKUP(Tabla1[[#This Row],[Responsable]],Hoja2!$B$19:$C$36,2,FALSE)</f>
        <v>MODELADOR OC</v>
      </c>
      <c r="H45" s="3">
        <v>46167.3125</v>
      </c>
      <c r="I45" s="3">
        <v>46167.75</v>
      </c>
      <c r="J45" s="1">
        <f>+(Tabla1[[#This Row],[Fecha y hora de Fin]]-Tabla1[[#This Row],[Fecha y hora de incio]])*24</f>
        <v>10.5</v>
      </c>
      <c r="K45" t="s">
        <v>96</v>
      </c>
    </row>
    <row r="46" spans="2:11">
      <c r="B46" t="s">
        <v>62</v>
      </c>
      <c r="C46" s="5" t="s">
        <v>12</v>
      </c>
      <c r="D46" t="s">
        <v>97</v>
      </c>
      <c r="E46" t="s">
        <v>41</v>
      </c>
      <c r="F46" t="s">
        <v>98</v>
      </c>
      <c r="G46" t="str">
        <f>+VLOOKUP(Tabla1[[#This Row],[Responsable]],Hoja2!$B$19:$C$36,2,FALSE)</f>
        <v>MODELADOR OC</v>
      </c>
      <c r="H46" s="3">
        <v>46167.3125</v>
      </c>
      <c r="I46" s="3">
        <v>46167.75</v>
      </c>
      <c r="J46" s="1">
        <f>+(Tabla1[[#This Row],[Fecha y hora de Fin]]-Tabla1[[#This Row],[Fecha y hora de incio]])*24</f>
        <v>10.5</v>
      </c>
      <c r="K46" t="s">
        <v>99</v>
      </c>
    </row>
    <row r="47" spans="2:11">
      <c r="B47" t="s">
        <v>33</v>
      </c>
      <c r="C47" s="5" t="s">
        <v>12</v>
      </c>
      <c r="D47" t="s">
        <v>100</v>
      </c>
      <c r="E47" t="s">
        <v>101</v>
      </c>
      <c r="F47" t="s">
        <v>102</v>
      </c>
      <c r="G47" t="str">
        <f>+VLOOKUP(Tabla1[[#This Row],[Responsable]],Hoja2!$B$19:$C$36,2,FALSE)</f>
        <v>MODELADOR OC</v>
      </c>
      <c r="H47" s="3">
        <v>46167.583333333336</v>
      </c>
      <c r="I47" s="3">
        <v>46168.583333333336</v>
      </c>
      <c r="J47" s="1">
        <f>+(Tabla1[[#This Row],[Fecha y hora de Fin]]-Tabla1[[#This Row],[Fecha y hora de incio]])*24</f>
        <v>24</v>
      </c>
    </row>
    <row r="48" spans="2:11">
      <c r="B48" t="s">
        <v>20</v>
      </c>
      <c r="C48" s="5" t="s">
        <v>12</v>
      </c>
      <c r="D48" t="s">
        <v>103</v>
      </c>
      <c r="E48" t="s">
        <v>104</v>
      </c>
      <c r="F48" t="s">
        <v>18</v>
      </c>
      <c r="G48" t="str">
        <f>+VLOOKUP(Tabla1[[#This Row],[Responsable]],Hoja2!$B$19:$C$36,2,FALSE)</f>
        <v>PRACTICANTE ME</v>
      </c>
      <c r="H48" s="3">
        <v>46168.326388888891</v>
      </c>
      <c r="I48" s="3">
        <v>46168.375</v>
      </c>
      <c r="J48" s="1">
        <f>+(Tabla1[[#This Row],[Fecha y hora de Fin]]-Tabla1[[#This Row],[Fecha y hora de incio]])*24</f>
        <v>1.1666666666278616</v>
      </c>
      <c r="K48" t="s">
        <v>46</v>
      </c>
    </row>
    <row r="49" spans="2:11">
      <c r="B49" t="s">
        <v>11</v>
      </c>
      <c r="C49" s="5" t="s">
        <v>12</v>
      </c>
      <c r="D49" t="s">
        <v>105</v>
      </c>
      <c r="E49" t="s">
        <v>106</v>
      </c>
      <c r="F49" t="s">
        <v>13</v>
      </c>
      <c r="G49" t="str">
        <f>+VLOOKUP(Tabla1[[#This Row],[Responsable]],Hoja2!$B$19:$C$36,2,FALSE)</f>
        <v>PRACTICANTE ME</v>
      </c>
      <c r="H49" s="3">
        <v>46168.409722222219</v>
      </c>
      <c r="I49" s="3">
        <v>46168.430555555555</v>
      </c>
      <c r="J49" s="1">
        <f>+(Tabla1[[#This Row],[Fecha y hora de Fin]]-Tabla1[[#This Row],[Fecha y hora de incio]])*24</f>
        <v>0.50000000005820766</v>
      </c>
      <c r="K49" t="s">
        <v>107</v>
      </c>
    </row>
    <row r="50" spans="2:11">
      <c r="B50" t="s">
        <v>11</v>
      </c>
      <c r="C50" s="5" t="s">
        <v>12</v>
      </c>
      <c r="D50" t="s">
        <v>108</v>
      </c>
      <c r="E50" t="s">
        <v>109</v>
      </c>
      <c r="F50" t="s">
        <v>13</v>
      </c>
      <c r="G50" t="str">
        <f>+VLOOKUP(Tabla1[[#This Row],[Responsable]],Hoja2!$B$19:$C$36,2,FALSE)</f>
        <v>PRACTICANTE ME</v>
      </c>
      <c r="H50" s="3">
        <v>46168.444444444445</v>
      </c>
      <c r="I50" s="3">
        <v>46168.489583333336</v>
      </c>
      <c r="J50" s="1">
        <f>+(Tabla1[[#This Row],[Fecha y hora de Fin]]-Tabla1[[#This Row],[Fecha y hora de incio]])*24</f>
        <v>1.0833333333721384</v>
      </c>
      <c r="K50" t="s">
        <v>107</v>
      </c>
    </row>
    <row r="51" spans="2:11" ht="14.25" customHeight="1">
      <c r="B51" t="s">
        <v>20</v>
      </c>
      <c r="C51" s="5" t="s">
        <v>12</v>
      </c>
      <c r="D51" s="19" t="s">
        <v>47</v>
      </c>
      <c r="E51" t="s">
        <v>110</v>
      </c>
      <c r="F51" t="s">
        <v>13</v>
      </c>
      <c r="G51" t="str">
        <f>+VLOOKUP(Tabla1[[#This Row],[Responsable]],Hoja2!$B$19:$C$36,2,FALSE)</f>
        <v>PRACTICANTE ME</v>
      </c>
      <c r="H51" s="3">
        <v>46168.520833333336</v>
      </c>
      <c r="I51" s="3">
        <v>46168.534722222219</v>
      </c>
      <c r="J51" s="1">
        <f>+(Tabla1[[#This Row],[Fecha y hora de Fin]]-Tabla1[[#This Row],[Fecha y hora de incio]])*24</f>
        <v>0.33333333319751546</v>
      </c>
      <c r="K51" t="s">
        <v>46</v>
      </c>
    </row>
    <row r="52" spans="2:11">
      <c r="B52" t="s">
        <v>20</v>
      </c>
      <c r="C52" s="5" t="s">
        <v>12</v>
      </c>
      <c r="D52" t="s">
        <v>111</v>
      </c>
      <c r="E52" t="s">
        <v>112</v>
      </c>
      <c r="F52" t="s">
        <v>18</v>
      </c>
      <c r="G52" t="str">
        <f>+VLOOKUP(Tabla1[[#This Row],[Responsable]],Hoja2!$B$19:$C$36,2,FALSE)</f>
        <v>PRACTICANTE ME</v>
      </c>
      <c r="H52" s="3">
        <v>46168.5</v>
      </c>
      <c r="I52" s="3">
        <v>46168.534722222219</v>
      </c>
      <c r="J52" s="1">
        <f>+(Tabla1[[#This Row],[Fecha y hora de Fin]]-Tabla1[[#This Row],[Fecha y hora de incio]])*24</f>
        <v>0.83333333325572312</v>
      </c>
      <c r="K52" t="s">
        <v>46</v>
      </c>
    </row>
    <row r="53" spans="2:11">
      <c r="B53" t="s">
        <v>20</v>
      </c>
      <c r="C53" s="5" t="s">
        <v>12</v>
      </c>
      <c r="D53" t="s">
        <v>113</v>
      </c>
      <c r="E53" t="s">
        <v>114</v>
      </c>
      <c r="F53" t="s">
        <v>18</v>
      </c>
      <c r="G53" t="str">
        <f>+VLOOKUP(Tabla1[[#This Row],[Responsable]],Hoja2!$B$19:$C$36,2,FALSE)</f>
        <v>PRACTICANTE ME</v>
      </c>
      <c r="H53" s="3">
        <v>46168.583333333336</v>
      </c>
      <c r="I53" s="3">
        <v>46168.625</v>
      </c>
      <c r="J53" s="1">
        <f>+(Tabla1[[#This Row],[Fecha y hora de Fin]]-Tabla1[[#This Row],[Fecha y hora de incio]])*24</f>
        <v>0.99999999994179234</v>
      </c>
      <c r="K53" t="s">
        <v>107</v>
      </c>
    </row>
    <row r="54" spans="2:11">
      <c r="B54" t="s">
        <v>62</v>
      </c>
      <c r="C54" s="5" t="s">
        <v>12</v>
      </c>
      <c r="D54" t="s">
        <v>63</v>
      </c>
      <c r="E54" t="s">
        <v>64</v>
      </c>
      <c r="F54" t="s">
        <v>65</v>
      </c>
      <c r="G54" t="str">
        <f>+VLOOKUP(Tabla1[[#This Row],[Responsable]],Hoja2!$B$19:$C$36,2,FALSE)</f>
        <v>MODELADOR ME</v>
      </c>
      <c r="H54" s="3">
        <v>46168.659722222219</v>
      </c>
      <c r="I54" s="3">
        <v>46168.708333333336</v>
      </c>
      <c r="J54" s="1">
        <f>+(Tabla1[[#This Row],[Fecha y hora de Fin]]-Tabla1[[#This Row],[Fecha y hora de incio]])*24</f>
        <v>1.1666666668024845</v>
      </c>
      <c r="K54" t="s">
        <v>115</v>
      </c>
    </row>
    <row r="55" spans="2:11">
      <c r="B55" t="s">
        <v>62</v>
      </c>
      <c r="C55" s="5" t="s">
        <v>12</v>
      </c>
      <c r="D55" t="s">
        <v>116</v>
      </c>
      <c r="E55" t="s">
        <v>117</v>
      </c>
      <c r="F55" t="s">
        <v>65</v>
      </c>
      <c r="G55" t="str">
        <f>+VLOOKUP(Tabla1[[#This Row],[Responsable]],Hoja2!$B$19:$C$36,2,FALSE)</f>
        <v>MODELADOR ME</v>
      </c>
      <c r="H55" s="3">
        <v>46168.416666666664</v>
      </c>
      <c r="I55" s="3">
        <v>46168.73333333333</v>
      </c>
      <c r="J55" s="1">
        <f>+(Tabla1[[#This Row],[Fecha y hora de Fin]]-Tabla1[[#This Row],[Fecha y hora de incio]])*24</f>
        <v>7.5999999999767169</v>
      </c>
      <c r="K55" t="s">
        <v>118</v>
      </c>
    </row>
    <row r="56" spans="2:11">
      <c r="B56" t="s">
        <v>62</v>
      </c>
      <c r="C56" s="5" t="s">
        <v>12</v>
      </c>
      <c r="D56" t="s">
        <v>119</v>
      </c>
      <c r="E56" t="s">
        <v>120</v>
      </c>
      <c r="F56" t="s">
        <v>65</v>
      </c>
      <c r="G56" t="str">
        <f>+VLOOKUP(Tabla1[[#This Row],[Responsable]],Hoja2!$B$19:$C$36,2,FALSE)</f>
        <v>MODELADOR ME</v>
      </c>
      <c r="H56" s="3">
        <v>46168.3125</v>
      </c>
      <c r="I56" s="3">
        <v>46168.428472222222</v>
      </c>
      <c r="J56" s="1">
        <f>+(Tabla1[[#This Row],[Fecha y hora de Fin]]-Tabla1[[#This Row],[Fecha y hora de incio]])*24</f>
        <v>2.7833333333255723</v>
      </c>
      <c r="K56" t="s">
        <v>118</v>
      </c>
    </row>
    <row r="57" spans="2:11">
      <c r="B57" t="s">
        <v>62</v>
      </c>
      <c r="C57" s="5" t="s">
        <v>12</v>
      </c>
      <c r="D57" t="s">
        <v>73</v>
      </c>
      <c r="E57" t="s">
        <v>74</v>
      </c>
      <c r="F57" t="s">
        <v>65</v>
      </c>
      <c r="G57" t="str">
        <f>+VLOOKUP(Tabla1[[#This Row],[Responsable]],Hoja2!$B$19:$C$36,2,FALSE)</f>
        <v>MODELADOR ME</v>
      </c>
      <c r="H57" s="3">
        <v>46168.619444444441</v>
      </c>
      <c r="I57" s="3">
        <v>46168.756944444445</v>
      </c>
      <c r="J57" s="1">
        <f>+(Tabla1[[#This Row],[Fecha y hora de Fin]]-Tabla1[[#This Row],[Fecha y hora de incio]])*24</f>
        <v>3.3000000001047738</v>
      </c>
      <c r="K57" t="s">
        <v>75</v>
      </c>
    </row>
    <row r="58" spans="2:11">
      <c r="B58" t="s">
        <v>121</v>
      </c>
      <c r="C58" s="5" t="s">
        <v>12</v>
      </c>
      <c r="D58" t="s">
        <v>122</v>
      </c>
      <c r="E58" t="s">
        <v>123</v>
      </c>
      <c r="F58" t="s">
        <v>102</v>
      </c>
      <c r="G58" t="str">
        <f>+VLOOKUP(Tabla1[[#This Row],[Responsable]],Hoja2!$B$19:$C$36,2,FALSE)</f>
        <v>MODELADOR OC</v>
      </c>
      <c r="H58" s="3">
        <v>46168.583333333336</v>
      </c>
      <c r="I58" s="3">
        <v>46168.6875</v>
      </c>
      <c r="J58" s="1">
        <f>+(Tabla1[[#This Row],[Fecha y hora de Fin]]-Tabla1[[#This Row],[Fecha y hora de incio]])*24</f>
        <v>2.4999999999417923</v>
      </c>
    </row>
    <row r="59" spans="2:11">
      <c r="B59" t="s">
        <v>20</v>
      </c>
      <c r="C59" s="5" t="s">
        <v>12</v>
      </c>
      <c r="D59" s="20" t="s">
        <v>124</v>
      </c>
      <c r="E59" t="s">
        <v>125</v>
      </c>
      <c r="F59" t="s">
        <v>18</v>
      </c>
      <c r="G59" t="str">
        <f>+VLOOKUP(Tabla1[[#This Row],[Responsable]],Hoja2!$B$19:$C$36,2,FALSE)</f>
        <v>PRACTICANTE ME</v>
      </c>
      <c r="H59" s="3">
        <v>46168.637499999997</v>
      </c>
      <c r="I59" s="3">
        <v>46168.75</v>
      </c>
      <c r="J59" s="1">
        <f>+(Tabla1[[#This Row],[Fecha y hora de Fin]]-Tabla1[[#This Row],[Fecha y hora de incio]])*24</f>
        <v>2.7000000000698492</v>
      </c>
    </row>
    <row r="60" spans="2:11">
      <c r="B60" t="s">
        <v>20</v>
      </c>
      <c r="C60" s="5" t="s">
        <v>12</v>
      </c>
      <c r="D60" s="20" t="s">
        <v>126</v>
      </c>
      <c r="E60" t="s">
        <v>127</v>
      </c>
      <c r="F60" t="s">
        <v>13</v>
      </c>
      <c r="G60" t="str">
        <f>+VLOOKUP(Tabla1[[#This Row],[Responsable]],Hoja2!$B$19:$C$36,2,FALSE)</f>
        <v>PRACTICANTE ME</v>
      </c>
      <c r="H60" s="3">
        <v>46168.090277777781</v>
      </c>
      <c r="I60" s="3">
        <v>46168.736111111109</v>
      </c>
      <c r="J60" s="1">
        <f>+(Tabla1[[#This Row],[Fecha y hora de Fin]]-Tabla1[[#This Row],[Fecha y hora de incio]])*24</f>
        <v>15.499999999883585</v>
      </c>
      <c r="K60" t="s">
        <v>46</v>
      </c>
    </row>
    <row r="61" spans="2:11">
      <c r="B61" t="s">
        <v>33</v>
      </c>
      <c r="C61" s="16" t="s">
        <v>34</v>
      </c>
      <c r="D61" t="s">
        <v>93</v>
      </c>
      <c r="E61" t="s">
        <v>94</v>
      </c>
      <c r="F61" t="s">
        <v>95</v>
      </c>
      <c r="G61" t="str">
        <f>+VLOOKUP(Tabla1[[#This Row],[Responsable]],Hoja2!$B$19:$C$36,2,FALSE)</f>
        <v>MODELADOR OC</v>
      </c>
      <c r="H61" s="3">
        <v>46168.3125</v>
      </c>
      <c r="I61" s="3">
        <v>46168.75</v>
      </c>
      <c r="J61" s="1">
        <f>+(Tabla1[[#This Row],[Fecha y hora de Fin]]-Tabla1[[#This Row],[Fecha y hora de incio]])*24</f>
        <v>10.5</v>
      </c>
      <c r="K61" t="s">
        <v>46</v>
      </c>
    </row>
    <row r="62" spans="2:11">
      <c r="B62" t="s">
        <v>20</v>
      </c>
      <c r="C62" s="5" t="s">
        <v>12</v>
      </c>
      <c r="D62" t="s">
        <v>128</v>
      </c>
      <c r="E62" t="s">
        <v>129</v>
      </c>
      <c r="F62" t="s">
        <v>18</v>
      </c>
      <c r="G62" t="str">
        <f>+VLOOKUP(Tabla1[[#This Row],[Responsable]],Hoja2!$B$19:$C$36,2,FALSE)</f>
        <v>PRACTICANTE ME</v>
      </c>
      <c r="H62" s="3">
        <v>46169.3125</v>
      </c>
      <c r="I62" s="3">
        <v>46169.4375</v>
      </c>
      <c r="J62" s="1">
        <f>+(Tabla1[[#This Row],[Fecha y hora de Fin]]-Tabla1[[#This Row],[Fecha y hora de incio]])*24</f>
        <v>3</v>
      </c>
    </row>
    <row r="63" spans="2:11">
      <c r="B63" t="s">
        <v>20</v>
      </c>
      <c r="C63" s="5" t="s">
        <v>12</v>
      </c>
      <c r="D63" t="s">
        <v>21</v>
      </c>
      <c r="E63" t="s">
        <v>22</v>
      </c>
      <c r="F63" t="s">
        <v>23</v>
      </c>
      <c r="G63" t="str">
        <f>+VLOOKUP(Tabla1[[#This Row],[Responsable]],Hoja2!$B$19:$C$36,2,FALSE)</f>
        <v>MODELADOR OC</v>
      </c>
      <c r="H63" s="3">
        <v>46168.3125</v>
      </c>
      <c r="I63" s="3">
        <v>46168.416666666664</v>
      </c>
      <c r="J63" s="1">
        <f>+(Tabla1[[#This Row],[Fecha y hora de Fin]]-Tabla1[[#This Row],[Fecha y hora de incio]])*24</f>
        <v>2.4999999999417923</v>
      </c>
    </row>
    <row r="64" spans="2:11">
      <c r="B64" t="s">
        <v>130</v>
      </c>
      <c r="C64" s="5" t="s">
        <v>12</v>
      </c>
      <c r="D64" t="s">
        <v>131</v>
      </c>
      <c r="E64" t="s">
        <v>132</v>
      </c>
      <c r="F64" t="s">
        <v>23</v>
      </c>
      <c r="G64" t="str">
        <f>+VLOOKUP(Tabla1[[#This Row],[Responsable]],Hoja2!$B$19:$C$36,2,FALSE)</f>
        <v>MODELADOR OC</v>
      </c>
      <c r="H64" s="3">
        <v>46168.416666666664</v>
      </c>
      <c r="I64" s="3">
        <v>46168.520833333336</v>
      </c>
      <c r="J64" s="1">
        <f>+(Tabla1[[#This Row],[Fecha y hora de Fin]]-Tabla1[[#This Row],[Fecha y hora de incio]])*24</f>
        <v>2.5000000001164153</v>
      </c>
    </row>
    <row r="65" spans="2:11">
      <c r="B65" t="s">
        <v>20</v>
      </c>
      <c r="C65" s="5" t="s">
        <v>12</v>
      </c>
      <c r="D65" t="s">
        <v>21</v>
      </c>
      <c r="E65" t="s">
        <v>22</v>
      </c>
      <c r="F65" t="s">
        <v>23</v>
      </c>
      <c r="G65" t="str">
        <f>+VLOOKUP(Tabla1[[#This Row],[Responsable]],Hoja2!$B$19:$C$36,2,FALSE)</f>
        <v>MODELADOR OC</v>
      </c>
      <c r="H65" s="3">
        <v>46168.520833333336</v>
      </c>
      <c r="I65" s="3">
        <v>46168.520833333336</v>
      </c>
      <c r="J65" s="1">
        <f>+(Tabla1[[#This Row],[Fecha y hora de Fin]]-Tabla1[[#This Row],[Fecha y hora de incio]])*24</f>
        <v>0</v>
      </c>
    </row>
    <row r="66" spans="2:11">
      <c r="B66" t="s">
        <v>130</v>
      </c>
      <c r="C66" s="5" t="s">
        <v>12</v>
      </c>
      <c r="D66" t="s">
        <v>131</v>
      </c>
      <c r="E66" t="s">
        <v>132</v>
      </c>
      <c r="F66" t="s">
        <v>23</v>
      </c>
      <c r="G66" t="str">
        <f>+VLOOKUP(Tabla1[[#This Row],[Responsable]],Hoja2!$B$19:$C$36,2,FALSE)</f>
        <v>MODELADOR OC</v>
      </c>
      <c r="H66" s="3">
        <v>46169.3125</v>
      </c>
      <c r="I66" s="3">
        <v>46169.520833333336</v>
      </c>
      <c r="J66" s="1">
        <f>+(Tabla1[[#This Row],[Fecha y hora de Fin]]-Tabla1[[#This Row],[Fecha y hora de incio]])*24</f>
        <v>5.0000000000582077</v>
      </c>
    </row>
    <row r="67" spans="2:11" ht="15.75" customHeight="1">
      <c r="B67" t="s">
        <v>133</v>
      </c>
      <c r="C67" s="5" t="s">
        <v>12</v>
      </c>
      <c r="D67" s="19" t="s">
        <v>134</v>
      </c>
      <c r="E67" t="s">
        <v>135</v>
      </c>
      <c r="F67" t="s">
        <v>13</v>
      </c>
      <c r="G67" t="str">
        <f>+VLOOKUP(Tabla1[[#This Row],[Responsable]],Hoja2!$B$19:$C$36,2,FALSE)</f>
        <v>PRACTICANTE ME</v>
      </c>
      <c r="H67" s="3">
        <v>46169.375</v>
      </c>
      <c r="I67" s="3"/>
      <c r="J67" s="1">
        <f>+(Tabla1[[#This Row],[Fecha y hora de Fin]]-Tabla1[[#This Row],[Fecha y hora de incio]])*24</f>
        <v>-1108065</v>
      </c>
    </row>
    <row r="68" spans="2:11">
      <c r="B68" t="s">
        <v>20</v>
      </c>
      <c r="C68" s="5" t="s">
        <v>12</v>
      </c>
      <c r="D68" s="20" t="s">
        <v>126</v>
      </c>
      <c r="E68" t="s">
        <v>127</v>
      </c>
      <c r="F68" t="s">
        <v>13</v>
      </c>
      <c r="G68" t="str">
        <f>+VLOOKUP(Tabla1[[#This Row],[Responsable]],Hoja2!$B$19:$C$36,2,FALSE)</f>
        <v>PRACTICANTE ME</v>
      </c>
      <c r="H68" s="3">
        <v>46169.463888888888</v>
      </c>
      <c r="I68" s="3">
        <v>46169.494444444441</v>
      </c>
      <c r="J68" s="1">
        <f>+(Tabla1[[#This Row],[Fecha y hora de Fin]]-Tabla1[[#This Row],[Fecha y hora de incio]])*24</f>
        <v>0.73333333327900618</v>
      </c>
    </row>
    <row r="69" spans="2:11">
      <c r="B69" t="s">
        <v>20</v>
      </c>
      <c r="C69" s="5" t="s">
        <v>12</v>
      </c>
      <c r="D69" t="s">
        <v>29</v>
      </c>
      <c r="E69" t="s">
        <v>136</v>
      </c>
      <c r="F69" t="s">
        <v>18</v>
      </c>
      <c r="G69" t="str">
        <f>+VLOOKUP(Tabla1[[#This Row],[Responsable]],Hoja2!$B$19:$C$36,2,FALSE)</f>
        <v>PRACTICANTE ME</v>
      </c>
      <c r="H69" s="3">
        <v>46169.458333333336</v>
      </c>
      <c r="I69" s="3">
        <v>46169.498611111114</v>
      </c>
      <c r="J69" s="1">
        <f>+(Tabla1[[#This Row],[Fecha y hora de Fin]]-Tabla1[[#This Row],[Fecha y hora de incio]])*24</f>
        <v>0.96666666667442769</v>
      </c>
    </row>
    <row r="70" spans="2:11">
      <c r="B70" t="s">
        <v>20</v>
      </c>
      <c r="C70" s="5" t="s">
        <v>12</v>
      </c>
      <c r="D70" t="s">
        <v>124</v>
      </c>
      <c r="E70" t="s">
        <v>137</v>
      </c>
      <c r="F70" t="s">
        <v>13</v>
      </c>
      <c r="G70" t="str">
        <f>+VLOOKUP(Tabla1[[#This Row],[Responsable]],Hoja2!$B$19:$C$36,2,FALSE)</f>
        <v>PRACTICANTE ME</v>
      </c>
      <c r="H70" s="3">
        <v>46169.5</v>
      </c>
      <c r="I70" s="3">
        <v>46169.513888888891</v>
      </c>
      <c r="J70" s="1">
        <f>+(Tabla1[[#This Row],[Fecha y hora de Fin]]-Tabla1[[#This Row],[Fecha y hora de incio]])*24</f>
        <v>0.33333333337213844</v>
      </c>
    </row>
    <row r="71" spans="2:11">
      <c r="B71" t="s">
        <v>20</v>
      </c>
      <c r="C71" s="5" t="s">
        <v>12</v>
      </c>
      <c r="D71" t="s">
        <v>111</v>
      </c>
      <c r="E71" t="s">
        <v>112</v>
      </c>
      <c r="F71" t="s">
        <v>18</v>
      </c>
      <c r="G71" t="str">
        <f>+VLOOKUP(Tabla1[[#This Row],[Responsable]],Hoja2!$B$19:$C$36,2,FALSE)</f>
        <v>PRACTICANTE ME</v>
      </c>
      <c r="H71" s="3">
        <v>46169.5</v>
      </c>
      <c r="I71" s="3">
        <v>46169.524305555555</v>
      </c>
      <c r="J71" s="1">
        <f>+(Tabla1[[#This Row],[Fecha y hora de Fin]]-Tabla1[[#This Row],[Fecha y hora de incio]])*24</f>
        <v>0.58333333331393078</v>
      </c>
    </row>
    <row r="72" spans="2:11">
      <c r="B72" t="s">
        <v>20</v>
      </c>
      <c r="C72" s="5" t="s">
        <v>12</v>
      </c>
      <c r="D72" t="s">
        <v>138</v>
      </c>
      <c r="E72" t="s">
        <v>139</v>
      </c>
      <c r="F72" t="s">
        <v>13</v>
      </c>
      <c r="G72" t="str">
        <f>+VLOOKUP(Tabla1[[#This Row],[Responsable]],Hoja2!$B$19:$C$36,2,FALSE)</f>
        <v>PRACTICANTE ME</v>
      </c>
      <c r="H72" s="3">
        <v>46169.520833333336</v>
      </c>
      <c r="I72" s="3">
        <v>46169.540277777778</v>
      </c>
      <c r="J72" s="1">
        <f>+(Tabla1[[#This Row],[Fecha y hora de Fin]]-Tabla1[[#This Row],[Fecha y hora de incio]])*24</f>
        <v>0.46666666661622003</v>
      </c>
    </row>
    <row r="73" spans="2:11">
      <c r="B73" t="s">
        <v>33</v>
      </c>
      <c r="C73" s="16" t="s">
        <v>34</v>
      </c>
      <c r="D73" t="s">
        <v>93</v>
      </c>
      <c r="E73" t="s">
        <v>94</v>
      </c>
      <c r="F73" t="s">
        <v>95</v>
      </c>
      <c r="G73" t="str">
        <f>+VLOOKUP(Tabla1[[#This Row],[Responsable]],Hoja2!$B$19:$C$36,2,FALSE)</f>
        <v>MODELADOR OC</v>
      </c>
      <c r="H73" s="3">
        <v>46169.3125</v>
      </c>
      <c r="I73" s="3">
        <v>46169.75</v>
      </c>
      <c r="J73" s="1">
        <f>+(Tabla1[[#This Row],[Fecha y hora de Fin]]-Tabla1[[#This Row],[Fecha y hora de incio]])*24</f>
        <v>10.5</v>
      </c>
      <c r="K73" t="s">
        <v>46</v>
      </c>
    </row>
    <row r="74" spans="2:11">
      <c r="B74" t="s">
        <v>121</v>
      </c>
      <c r="C74" s="5" t="s">
        <v>12</v>
      </c>
      <c r="D74" t="s">
        <v>140</v>
      </c>
      <c r="E74" t="s">
        <v>123</v>
      </c>
      <c r="F74" t="s">
        <v>102</v>
      </c>
      <c r="G74" t="str">
        <f>+VLOOKUP(Tabla1[[#This Row],[Responsable]],Hoja2!$B$19:$C$36,2,FALSE)</f>
        <v>MODELADOR OC</v>
      </c>
      <c r="H74" s="3">
        <v>46169.3125</v>
      </c>
      <c r="I74" s="3">
        <v>46169.75</v>
      </c>
      <c r="J74" s="1">
        <f>+(Tabla1[[#This Row],[Fecha y hora de Fin]]-Tabla1[[#This Row],[Fecha y hora de incio]])*24</f>
        <v>10.5</v>
      </c>
    </row>
    <row r="75" spans="2:11">
      <c r="B75" t="s">
        <v>49</v>
      </c>
      <c r="C75" s="5" t="s">
        <v>12</v>
      </c>
      <c r="D75" t="s">
        <v>141</v>
      </c>
      <c r="E75" t="s">
        <v>142</v>
      </c>
      <c r="F75" t="s">
        <v>18</v>
      </c>
      <c r="G75" t="str">
        <f>+VLOOKUP(Tabla1[[#This Row],[Responsable]],Hoja2!$B$19:$C$36,2,FALSE)</f>
        <v>PRACTICANTE ME</v>
      </c>
      <c r="H75" s="3">
        <v>46169.524305555555</v>
      </c>
      <c r="I75" s="3">
        <v>46169.75</v>
      </c>
      <c r="J75" s="1">
        <f>+(Tabla1[[#This Row],[Fecha y hora de Fin]]-Tabla1[[#This Row],[Fecha y hora de incio]])*24</f>
        <v>5.4166666666860692</v>
      </c>
    </row>
    <row r="76" spans="2:11">
      <c r="B76" t="s">
        <v>62</v>
      </c>
      <c r="C76" s="5" t="s">
        <v>12</v>
      </c>
      <c r="D76" t="s">
        <v>63</v>
      </c>
      <c r="E76" t="s">
        <v>64</v>
      </c>
      <c r="F76" t="s">
        <v>65</v>
      </c>
      <c r="G76" t="str">
        <f>+VLOOKUP(Tabla1[[#This Row],[Responsable]],Hoja2!$B$19:$C$36,2,FALSE)</f>
        <v>MODELADOR ME</v>
      </c>
      <c r="H76" s="3">
        <v>46169.472222222219</v>
      </c>
      <c r="I76" s="3">
        <v>46169.729166666664</v>
      </c>
      <c r="J76" s="1">
        <f>+(Tabla1[[#This Row],[Fecha y hora de Fin]]-Tabla1[[#This Row],[Fecha y hora de incio]])*24</f>
        <v>6.1666666666860692</v>
      </c>
      <c r="K76" t="s">
        <v>115</v>
      </c>
    </row>
    <row r="77" spans="2:11">
      <c r="B77" t="s">
        <v>62</v>
      </c>
      <c r="C77" s="5" t="s">
        <v>12</v>
      </c>
      <c r="D77" t="s">
        <v>119</v>
      </c>
      <c r="E77" t="s">
        <v>120</v>
      </c>
      <c r="F77" t="s">
        <v>65</v>
      </c>
      <c r="G77" t="str">
        <f>+VLOOKUP(Tabla1[[#This Row],[Responsable]],Hoja2!$B$19:$C$36,2,FALSE)</f>
        <v>MODELADOR ME</v>
      </c>
      <c r="H77" s="3">
        <v>46169.620138888888</v>
      </c>
      <c r="I77" s="3">
        <v>46169.760416666664</v>
      </c>
      <c r="J77" s="1">
        <f>+(Tabla1[[#This Row],[Fecha y hora de Fin]]-Tabla1[[#This Row],[Fecha y hora de incio]])*24</f>
        <v>3.3666666666395031</v>
      </c>
      <c r="K77" t="s">
        <v>118</v>
      </c>
    </row>
    <row r="78" spans="2:11">
      <c r="B78" t="s">
        <v>62</v>
      </c>
      <c r="C78" s="5" t="s">
        <v>12</v>
      </c>
      <c r="D78" t="s">
        <v>67</v>
      </c>
      <c r="E78" t="s">
        <v>68</v>
      </c>
      <c r="F78" t="s">
        <v>65</v>
      </c>
      <c r="G78" t="str">
        <f>+VLOOKUP(Tabla1[[#This Row],[Responsable]],Hoja2!$B$19:$C$36,2,FALSE)</f>
        <v>MODELADOR ME</v>
      </c>
      <c r="H78" s="3">
        <v>46169.3125</v>
      </c>
      <c r="I78" s="3">
        <v>46169.395833333336</v>
      </c>
      <c r="J78" s="1">
        <f>+(Tabla1[[#This Row],[Fecha y hora de Fin]]-Tabla1[[#This Row],[Fecha y hora de incio]])*24</f>
        <v>2.0000000000582077</v>
      </c>
      <c r="K78" t="s">
        <v>143</v>
      </c>
    </row>
    <row r="79" spans="2:11">
      <c r="B79" t="s">
        <v>62</v>
      </c>
      <c r="C79" s="5" t="s">
        <v>12</v>
      </c>
      <c r="D79" t="s">
        <v>76</v>
      </c>
      <c r="E79" t="s">
        <v>77</v>
      </c>
      <c r="F79" t="s">
        <v>65</v>
      </c>
      <c r="G79" t="str">
        <f>+VLOOKUP(Tabla1[[#This Row],[Responsable]],Hoja2!$B$19:$C$36,2,FALSE)</f>
        <v>MODELADOR ME</v>
      </c>
      <c r="H79" s="3">
        <v>46169.365277777775</v>
      </c>
      <c r="I79" s="3">
        <v>46169.662499999999</v>
      </c>
      <c r="J79" s="1">
        <f>+(Tabla1[[#This Row],[Fecha y hora de Fin]]-Tabla1[[#This Row],[Fecha y hora de incio]])*24</f>
        <v>7.1333333333604969</v>
      </c>
      <c r="K79" t="s">
        <v>144</v>
      </c>
    </row>
    <row r="80" spans="2:11">
      <c r="B80" t="s">
        <v>62</v>
      </c>
      <c r="C80" s="5" t="s">
        <v>12</v>
      </c>
      <c r="D80" t="s">
        <v>73</v>
      </c>
      <c r="E80" t="s">
        <v>74</v>
      </c>
      <c r="F80" t="s">
        <v>65</v>
      </c>
      <c r="G80" t="str">
        <f>+VLOOKUP(Tabla1[[#This Row],[Responsable]],Hoja2!$B$19:$C$36,2,FALSE)</f>
        <v>MODELADOR ME</v>
      </c>
      <c r="H80" s="3">
        <v>46169.517361111109</v>
      </c>
      <c r="I80" s="3">
        <v>46169.722916666666</v>
      </c>
      <c r="J80" s="1">
        <f>+(Tabla1[[#This Row],[Fecha y hora de Fin]]-Tabla1[[#This Row],[Fecha y hora de incio]])*24</f>
        <v>4.9333333333488554</v>
      </c>
      <c r="K80" t="s">
        <v>118</v>
      </c>
    </row>
    <row r="81" spans="2:11">
      <c r="B81" t="s">
        <v>11</v>
      </c>
      <c r="C81" s="5" t="s">
        <v>12</v>
      </c>
      <c r="D81" t="s">
        <v>145</v>
      </c>
      <c r="E81" t="s">
        <v>146</v>
      </c>
      <c r="F81" t="s">
        <v>18</v>
      </c>
      <c r="G81" t="str">
        <f>+VLOOKUP(Tabla1[[#This Row],[Responsable]],Hoja2!$B$19:$C$36,2,FALSE)</f>
        <v>PRACTICANTE ME</v>
      </c>
      <c r="H81" s="3">
        <v>46170.3125</v>
      </c>
      <c r="I81" s="3">
        <v>46170.416666666664</v>
      </c>
      <c r="J81" s="1">
        <f>+(Tabla1[[#This Row],[Fecha y hora de Fin]]-Tabla1[[#This Row],[Fecha y hora de incio]])*24</f>
        <v>2.4999999999417923</v>
      </c>
    </row>
    <row r="82" spans="2:11">
      <c r="B82" t="s">
        <v>147</v>
      </c>
      <c r="C82" s="5" t="s">
        <v>12</v>
      </c>
      <c r="E82" t="s">
        <v>148</v>
      </c>
      <c r="F82" t="s">
        <v>102</v>
      </c>
      <c r="G82" t="str">
        <f>+VLOOKUP(Tabla1[[#This Row],[Responsable]],Hoja2!$B$19:$C$36,2,FALSE)</f>
        <v>MODELADOR OC</v>
      </c>
      <c r="H82" s="3">
        <v>46170.3125</v>
      </c>
      <c r="I82" s="3"/>
      <c r="J82" s="1">
        <f>+(Tabla1[[#This Row],[Fecha y hora de Fin]]-Tabla1[[#This Row],[Fecha y hora de incio]])*24</f>
        <v>-1108087.5</v>
      </c>
    </row>
    <row r="83" spans="2:11">
      <c r="B83" t="s">
        <v>130</v>
      </c>
      <c r="C83" s="5" t="s">
        <v>12</v>
      </c>
      <c r="D83" t="s">
        <v>131</v>
      </c>
      <c r="E83" t="s">
        <v>132</v>
      </c>
      <c r="F83" t="s">
        <v>23</v>
      </c>
      <c r="G83" t="str">
        <f>+VLOOKUP(Tabla1[[#This Row],[Responsable]],Hoja2!$B$19:$C$36,2,FALSE)</f>
        <v>MODELADOR OC</v>
      </c>
      <c r="H83" s="3">
        <v>46170.3125</v>
      </c>
      <c r="I83" s="3">
        <v>46170.75</v>
      </c>
      <c r="J83" s="1">
        <f>+(Tabla1[[#This Row],[Fecha y hora de Fin]]-Tabla1[[#This Row],[Fecha y hora de incio]])*24</f>
        <v>10.5</v>
      </c>
    </row>
    <row r="84" spans="2:11">
      <c r="B84" t="s">
        <v>11</v>
      </c>
      <c r="C84" s="5" t="s">
        <v>12</v>
      </c>
      <c r="D84" t="s">
        <v>149</v>
      </c>
      <c r="E84" t="s">
        <v>150</v>
      </c>
      <c r="F84" t="s">
        <v>13</v>
      </c>
      <c r="G84" t="str">
        <f>+VLOOKUP(Tabla1[[#This Row],[Responsable]],Hoja2!$B$19:$C$36,2,FALSE)</f>
        <v>PRACTICANTE ME</v>
      </c>
      <c r="H84" s="3">
        <v>46170.583333333336</v>
      </c>
      <c r="I84" s="3">
        <v>46170.625</v>
      </c>
      <c r="J84" s="1">
        <f>+(Tabla1[[#This Row],[Fecha y hora de Fin]]-Tabla1[[#This Row],[Fecha y hora de incio]])*24</f>
        <v>0.99999999994179234</v>
      </c>
    </row>
    <row r="85" spans="2:11">
      <c r="B85" t="s">
        <v>11</v>
      </c>
      <c r="C85" s="5" t="s">
        <v>12</v>
      </c>
      <c r="D85" t="s">
        <v>151</v>
      </c>
      <c r="E85" t="s">
        <v>152</v>
      </c>
      <c r="F85" t="s">
        <v>13</v>
      </c>
      <c r="G85" t="str">
        <f>+VLOOKUP(Tabla1[[#This Row],[Responsable]],Hoja2!$B$19:$C$36,2,FALSE)</f>
        <v>PRACTICANTE ME</v>
      </c>
      <c r="H85" s="3">
        <v>46170.625</v>
      </c>
      <c r="I85" s="3">
        <v>46170.635416666664</v>
      </c>
      <c r="J85" s="1">
        <f>+(Tabla1[[#This Row],[Fecha y hora de Fin]]-Tabla1[[#This Row],[Fecha y hora de incio]])*24</f>
        <v>0.24999999994179234</v>
      </c>
    </row>
    <row r="86" spans="2:11">
      <c r="B86" t="s">
        <v>11</v>
      </c>
      <c r="C86" s="5" t="s">
        <v>12</v>
      </c>
      <c r="D86" t="s">
        <v>153</v>
      </c>
      <c r="E86" t="s">
        <v>110</v>
      </c>
      <c r="F86" t="s">
        <v>18</v>
      </c>
      <c r="G86" t="str">
        <f>+VLOOKUP(Tabla1[[#This Row],[Responsable]],Hoja2!$B$19:$C$36,2,FALSE)</f>
        <v>PRACTICANTE ME</v>
      </c>
      <c r="H86" s="3">
        <v>46170.625</v>
      </c>
      <c r="I86" s="3">
        <v>46170.75</v>
      </c>
      <c r="J86" s="1">
        <f>+(Tabla1[[#This Row],[Fecha y hora de Fin]]-Tabla1[[#This Row],[Fecha y hora de incio]])*24</f>
        <v>3</v>
      </c>
    </row>
    <row r="87" spans="2:11">
      <c r="B87" t="s">
        <v>11</v>
      </c>
      <c r="C87" s="5" t="s">
        <v>12</v>
      </c>
      <c r="D87" t="s">
        <v>154</v>
      </c>
      <c r="E87" t="s">
        <v>155</v>
      </c>
      <c r="F87" t="s">
        <v>13</v>
      </c>
      <c r="G87" t="str">
        <f>+VLOOKUP(Tabla1[[#This Row],[Responsable]],Hoja2!$B$19:$C$36,2,FALSE)</f>
        <v>PRACTICANTE ME</v>
      </c>
      <c r="H87" s="3">
        <v>46170.638888888891</v>
      </c>
      <c r="I87" s="3">
        <v>46170.652777777781</v>
      </c>
      <c r="J87" s="1">
        <f>+(Tabla1[[#This Row],[Fecha y hora de Fin]]-Tabla1[[#This Row],[Fecha y hora de incio]])*24</f>
        <v>0.33333333337213844</v>
      </c>
    </row>
    <row r="88" spans="2:11">
      <c r="B88" t="s">
        <v>11</v>
      </c>
      <c r="C88" s="5" t="s">
        <v>12</v>
      </c>
      <c r="G88" t="e">
        <f>+VLOOKUP(Tabla1[[#This Row],[Responsable]],Hoja2!$B$19:$C$36,2,FALSE)</f>
        <v>#N/A</v>
      </c>
      <c r="H88" s="3"/>
      <c r="I88" s="3"/>
      <c r="J88" s="1">
        <f>+(Tabla1[[#This Row],[Fecha y hora de Fin]]-Tabla1[[#This Row],[Fecha y hora de incio]])*24</f>
        <v>0</v>
      </c>
    </row>
    <row r="89" spans="2:11">
      <c r="B89" t="s">
        <v>11</v>
      </c>
      <c r="C89" s="5" t="s">
        <v>12</v>
      </c>
      <c r="D89" t="s">
        <v>156</v>
      </c>
      <c r="E89" t="s">
        <v>157</v>
      </c>
      <c r="F89" t="s">
        <v>26</v>
      </c>
      <c r="G89" t="str">
        <f>+VLOOKUP(Tabla1[[#This Row],[Responsable]],Hoja2!$B$19:$C$36,2,FALSE)</f>
        <v>MODELADOR OC</v>
      </c>
      <c r="H89" s="3">
        <v>46170.583333333336</v>
      </c>
      <c r="I89" s="3">
        <v>46170.75</v>
      </c>
      <c r="J89" s="1">
        <f>+(Tabla1[[#This Row],[Fecha y hora de Fin]]-Tabla1[[#This Row],[Fecha y hora de incio]])*24</f>
        <v>3.9999999999417923</v>
      </c>
      <c r="K89" t="s">
        <v>19</v>
      </c>
    </row>
    <row r="90" spans="2:11">
      <c r="B90" t="s">
        <v>62</v>
      </c>
      <c r="C90" s="5" t="s">
        <v>12</v>
      </c>
      <c r="D90" t="s">
        <v>63</v>
      </c>
      <c r="E90" t="s">
        <v>64</v>
      </c>
      <c r="F90" t="s">
        <v>65</v>
      </c>
      <c r="G90" t="str">
        <f>+VLOOKUP(Tabla1[[#This Row],[Responsable]],Hoja2!$B$19:$C$36,2,FALSE)</f>
        <v>MODELADOR ME</v>
      </c>
      <c r="H90" s="3">
        <v>46170.719444444447</v>
      </c>
      <c r="I90" s="3">
        <v>46170.770833333336</v>
      </c>
      <c r="J90" s="1">
        <f>+(Tabla1[[#This Row],[Fecha y hora de Fin]]-Tabla1[[#This Row],[Fecha y hora de incio]])*24</f>
        <v>1.2333333333372138</v>
      </c>
      <c r="K90" t="s">
        <v>115</v>
      </c>
    </row>
    <row r="91" spans="2:11">
      <c r="B91" t="s">
        <v>62</v>
      </c>
      <c r="C91" s="5" t="s">
        <v>12</v>
      </c>
      <c r="D91" t="s">
        <v>158</v>
      </c>
      <c r="E91" t="s">
        <v>159</v>
      </c>
      <c r="F91" t="s">
        <v>65</v>
      </c>
      <c r="G91" t="str">
        <f>+VLOOKUP(Tabla1[[#This Row],[Responsable]],Hoja2!$B$19:$C$36,2,FALSE)</f>
        <v>MODELADOR ME</v>
      </c>
      <c r="H91" s="3">
        <v>46170.3125</v>
      </c>
      <c r="I91" s="3">
        <v>46170.715277777781</v>
      </c>
      <c r="J91" s="1">
        <f>+(Tabla1[[#This Row],[Fecha y hora de Fin]]-Tabla1[[#This Row],[Fecha y hora de incio]])*24</f>
        <v>9.6666666667442769</v>
      </c>
      <c r="K91" t="s">
        <v>118</v>
      </c>
    </row>
    <row r="92" spans="2:11">
      <c r="B92" t="s">
        <v>11</v>
      </c>
      <c r="C92" s="5" t="s">
        <v>12</v>
      </c>
      <c r="D92" t="s">
        <v>156</v>
      </c>
      <c r="E92" t="s">
        <v>157</v>
      </c>
      <c r="F92" t="s">
        <v>26</v>
      </c>
      <c r="G92" t="str">
        <f>+VLOOKUP(Tabla1[[#This Row],[Responsable]],Hoja2!$B$19:$C$36,2,FALSE)</f>
        <v>MODELADOR OC</v>
      </c>
      <c r="H92" s="3">
        <v>46171.3125</v>
      </c>
      <c r="I92" s="3">
        <v>46171.354166666664</v>
      </c>
      <c r="J92" s="1">
        <f>+(Tabla1[[#This Row],[Fecha y hora de Fin]]-Tabla1[[#This Row],[Fecha y hora de incio]])*24</f>
        <v>0.99999999994179234</v>
      </c>
      <c r="K92" t="s">
        <v>19</v>
      </c>
    </row>
    <row r="93" spans="2:11">
      <c r="B93" t="s">
        <v>62</v>
      </c>
      <c r="C93" s="5" t="s">
        <v>12</v>
      </c>
      <c r="D93" t="s">
        <v>63</v>
      </c>
      <c r="E93" t="s">
        <v>64</v>
      </c>
      <c r="F93" t="s">
        <v>65</v>
      </c>
      <c r="G93" t="str">
        <f>+VLOOKUP(Tabla1[[#This Row],[Responsable]],Hoja2!$B$19:$C$36,2,FALSE)</f>
        <v>MODELADOR ME</v>
      </c>
      <c r="H93" s="3">
        <v>46171.3125</v>
      </c>
      <c r="I93" s="3">
        <v>46171.492361111108</v>
      </c>
      <c r="J93" s="1">
        <f>+(Tabla1[[#This Row],[Fecha y hora de Fin]]-Tabla1[[#This Row],[Fecha y hora de incio]])*24</f>
        <v>4.316666666592937</v>
      </c>
      <c r="K93" t="s">
        <v>115</v>
      </c>
    </row>
    <row r="94" spans="2:11">
      <c r="B94" t="s">
        <v>62</v>
      </c>
      <c r="C94" s="5" t="s">
        <v>12</v>
      </c>
      <c r="D94" t="s">
        <v>160</v>
      </c>
      <c r="E94" t="s">
        <v>161</v>
      </c>
      <c r="F94" t="s">
        <v>65</v>
      </c>
      <c r="G94" t="str">
        <f>+VLOOKUP(Tabla1[[#This Row],[Responsable]],Hoja2!$B$19:$C$36,2,FALSE)</f>
        <v>MODELADOR ME</v>
      </c>
      <c r="H94" s="3">
        <v>46171.551388888889</v>
      </c>
      <c r="I94" s="3">
        <v>46171.756944444445</v>
      </c>
      <c r="J94" s="1">
        <f>+(Tabla1[[#This Row],[Fecha y hora de Fin]]-Tabla1[[#This Row],[Fecha y hora de incio]])*24</f>
        <v>4.9333333333488554</v>
      </c>
      <c r="K94" t="s">
        <v>118</v>
      </c>
    </row>
    <row r="95" spans="2:11">
      <c r="B95" t="s">
        <v>11</v>
      </c>
      <c r="C95" s="5" t="s">
        <v>12</v>
      </c>
      <c r="D95" t="s">
        <v>162</v>
      </c>
      <c r="E95" t="s">
        <v>163</v>
      </c>
      <c r="F95" t="s">
        <v>18</v>
      </c>
      <c r="G95" t="str">
        <f>+VLOOKUP(Tabla1[[#This Row],[Responsable]],Hoja2!$B$19:$C$36,2,FALSE)</f>
        <v>PRACTICANTE ME</v>
      </c>
      <c r="H95" s="3">
        <v>46170.625</v>
      </c>
      <c r="I95" s="3">
        <v>46170.75</v>
      </c>
      <c r="J95" s="1">
        <f>+(Tabla1[[#This Row],[Fecha y hora de Fin]]-Tabla1[[#This Row],[Fecha y hora de incio]])*24</f>
        <v>3</v>
      </c>
    </row>
    <row r="96" spans="2:11">
      <c r="B96" t="s">
        <v>11</v>
      </c>
      <c r="C96" s="5" t="s">
        <v>12</v>
      </c>
      <c r="D96" t="s">
        <v>89</v>
      </c>
      <c r="E96" t="s">
        <v>22</v>
      </c>
      <c r="F96" t="s">
        <v>26</v>
      </c>
      <c r="G96" t="str">
        <f>+VLOOKUP(Tabla1[[#This Row],[Responsable]],Hoja2!$B$19:$C$36,2,FALSE)</f>
        <v>MODELADOR OC</v>
      </c>
      <c r="H96" s="3">
        <v>46171.354166666664</v>
      </c>
      <c r="I96" s="3">
        <v>46171.5625</v>
      </c>
      <c r="J96" s="1">
        <f>+(Tabla1[[#This Row],[Fecha y hora de Fin]]-Tabla1[[#This Row],[Fecha y hora de incio]])*24</f>
        <v>5.0000000000582077</v>
      </c>
      <c r="K96" t="s">
        <v>19</v>
      </c>
    </row>
    <row r="97" spans="2:11">
      <c r="B97" t="s">
        <v>11</v>
      </c>
      <c r="C97" s="5" t="s">
        <v>12</v>
      </c>
      <c r="D97" t="s">
        <v>164</v>
      </c>
      <c r="E97" t="s">
        <v>165</v>
      </c>
      <c r="F97" t="s">
        <v>18</v>
      </c>
      <c r="G97" t="str">
        <f>+VLOOKUP(Tabla1[[#This Row],[Responsable]],Hoja2!$B$19:$C$36,2,FALSE)</f>
        <v>PRACTICANTE ME</v>
      </c>
      <c r="H97" s="3">
        <v>46171.3125</v>
      </c>
      <c r="I97" s="3">
        <v>46171.5625</v>
      </c>
      <c r="J97" s="1">
        <f>+(Tabla1[[#This Row],[Fecha y hora de Fin]]-Tabla1[[#This Row],[Fecha y hora de incio]])*24</f>
        <v>6</v>
      </c>
    </row>
    <row r="98" spans="2:11" ht="15">
      <c r="B98" t="s">
        <v>92</v>
      </c>
      <c r="C98" s="5" t="s">
        <v>12</v>
      </c>
      <c r="F98" t="s">
        <v>35</v>
      </c>
      <c r="G98" t="str">
        <f>+VLOOKUP(Tabla1[[#This Row],[Responsable]],Hoja2!$B$19:$C$36,2,FALSE)</f>
        <v>MODELADOR OC</v>
      </c>
      <c r="H98" s="3">
        <v>46170.3125</v>
      </c>
      <c r="I98" s="3">
        <v>46171.5625</v>
      </c>
      <c r="J98" s="1">
        <f>+(Tabla1[[#This Row],[Fecha y hora de Fin]]-Tabla1[[#This Row],[Fecha y hora de incio]])*24</f>
        <v>30</v>
      </c>
      <c r="K98" t="s">
        <v>36</v>
      </c>
    </row>
    <row r="99" spans="2:11">
      <c r="B99" t="s">
        <v>92</v>
      </c>
      <c r="C99" s="5" t="s">
        <v>12</v>
      </c>
      <c r="F99" t="s">
        <v>35</v>
      </c>
      <c r="G99" t="str">
        <f>+VLOOKUP(Tabla1[[#This Row],[Responsable]],Hoja2!$B$19:$C$36,2,FALSE)</f>
        <v>MODELADOR OC</v>
      </c>
      <c r="H99" s="3">
        <v>46174.3125</v>
      </c>
      <c r="I99" s="3">
        <v>46176.75</v>
      </c>
      <c r="J99" s="1">
        <f>+(Tabla1[[#This Row],[Fecha y hora de Fin]]-Tabla1[[#This Row],[Fecha y hora de incio]])*24</f>
        <v>58.5</v>
      </c>
      <c r="K99" t="s">
        <v>36</v>
      </c>
    </row>
    <row r="100" spans="2:11">
      <c r="B100" t="s">
        <v>11</v>
      </c>
      <c r="C100" s="5" t="s">
        <v>12</v>
      </c>
      <c r="D100" t="s">
        <v>166</v>
      </c>
      <c r="E100" t="s">
        <v>104</v>
      </c>
      <c r="F100" t="s">
        <v>18</v>
      </c>
      <c r="G100" t="str">
        <f>+VLOOKUP(Tabla1[[#This Row],[Responsable]],Hoja2!$B$19:$C$36,2,FALSE)</f>
        <v>PRACTICANTE ME</v>
      </c>
      <c r="H100" s="3">
        <v>46174.3125</v>
      </c>
      <c r="I100" s="3">
        <v>46174.527777777781</v>
      </c>
      <c r="J100" s="1">
        <f>+(Tabla1[[#This Row],[Fecha y hora de Fin]]-Tabla1[[#This Row],[Fecha y hora de incio]])*24</f>
        <v>5.1666666667442769</v>
      </c>
      <c r="K100" t="s">
        <v>19</v>
      </c>
    </row>
    <row r="101" spans="2:11">
      <c r="B101" t="s">
        <v>11</v>
      </c>
      <c r="C101" s="5" t="s">
        <v>12</v>
      </c>
      <c r="D101" t="s">
        <v>167</v>
      </c>
      <c r="E101" t="s">
        <v>168</v>
      </c>
      <c r="F101" t="s">
        <v>13</v>
      </c>
      <c r="G101" t="str">
        <f>+VLOOKUP(Tabla1[[#This Row],[Responsable]],Hoja2!$B$19:$C$36,2,FALSE)</f>
        <v>PRACTICANTE ME</v>
      </c>
      <c r="H101" s="3">
        <v>46174.354166666664</v>
      </c>
      <c r="I101" s="3">
        <v>46174.374305555553</v>
      </c>
      <c r="J101" s="1">
        <f>+(Tabla1[[#This Row],[Fecha y hora de Fin]]-Tabla1[[#This Row],[Fecha y hora de incio]])*24</f>
        <v>0.48333333333721384</v>
      </c>
      <c r="K101" t="s">
        <v>169</v>
      </c>
    </row>
    <row r="102" spans="2:11">
      <c r="B102" t="s">
        <v>11</v>
      </c>
      <c r="C102" s="5" t="s">
        <v>12</v>
      </c>
      <c r="D102" t="s">
        <v>170</v>
      </c>
      <c r="E102" t="s">
        <v>171</v>
      </c>
      <c r="F102" t="s">
        <v>13</v>
      </c>
      <c r="G102" t="str">
        <f>+VLOOKUP(Tabla1[[#This Row],[Responsable]],Hoja2!$B$19:$C$36,2,FALSE)</f>
        <v>PRACTICANTE ME</v>
      </c>
      <c r="H102" s="3">
        <v>46174.384027777778</v>
      </c>
      <c r="I102" s="3">
        <v>46174.415277777778</v>
      </c>
      <c r="J102" s="1">
        <f>+(Tabla1[[#This Row],[Fecha y hora de Fin]]-Tabla1[[#This Row],[Fecha y hora de incio]])*24</f>
        <v>0.75</v>
      </c>
      <c r="K102" t="s">
        <v>19</v>
      </c>
    </row>
    <row r="103" spans="2:11">
      <c r="B103" t="s">
        <v>130</v>
      </c>
      <c r="C103" s="5" t="s">
        <v>12</v>
      </c>
      <c r="D103" t="s">
        <v>172</v>
      </c>
      <c r="E103" t="s">
        <v>173</v>
      </c>
      <c r="F103" t="s">
        <v>18</v>
      </c>
      <c r="G103" t="str">
        <f>+VLOOKUP(Tabla1[[#This Row],[Responsable]],Hoja2!$B$19:$C$36,2,FALSE)</f>
        <v>PRACTICANTE ME</v>
      </c>
      <c r="H103" s="3">
        <v>46174.52847222222</v>
      </c>
      <c r="I103" s="3">
        <v>46174.541666666664</v>
      </c>
      <c r="J103" s="1">
        <f>+(Tabla1[[#This Row],[Fecha y hora de Fin]]-Tabla1[[#This Row],[Fecha y hora de incio]])*24</f>
        <v>0.31666666665114462</v>
      </c>
      <c r="K103" t="s">
        <v>46</v>
      </c>
    </row>
    <row r="104" spans="2:11">
      <c r="B104" t="s">
        <v>11</v>
      </c>
      <c r="C104" s="5" t="s">
        <v>12</v>
      </c>
      <c r="D104" t="s">
        <v>174</v>
      </c>
      <c r="E104" t="s">
        <v>175</v>
      </c>
      <c r="F104" t="s">
        <v>39</v>
      </c>
      <c r="G104" t="str">
        <f>+VLOOKUP(Tabla1[[#This Row],[Responsable]],Hoja2!$B$19:$C$36,2,FALSE)</f>
        <v>MODELADOR ME</v>
      </c>
      <c r="H104" s="3">
        <v>46174.3125</v>
      </c>
      <c r="I104" s="3">
        <v>46174.75</v>
      </c>
      <c r="J104" s="1">
        <f>+(Tabla1[[#This Row],[Fecha y hora de Fin]]-Tabla1[[#This Row],[Fecha y hora de incio]])*24</f>
        <v>10.5</v>
      </c>
      <c r="K104" t="s">
        <v>176</v>
      </c>
    </row>
    <row r="105" spans="2:11">
      <c r="B105" t="s">
        <v>11</v>
      </c>
      <c r="C105" s="5" t="s">
        <v>12</v>
      </c>
      <c r="D105" t="s">
        <v>89</v>
      </c>
      <c r="E105" t="s">
        <v>22</v>
      </c>
      <c r="F105" t="s">
        <v>26</v>
      </c>
      <c r="G105" t="str">
        <f>+VLOOKUP(Tabla1[[#This Row],[Responsable]],Hoja2!$B$19:$C$36,2,FALSE)</f>
        <v>MODELADOR OC</v>
      </c>
      <c r="H105" s="3">
        <v>46174.3125</v>
      </c>
      <c r="I105" s="3">
        <v>46174.541666666664</v>
      </c>
      <c r="J105" s="1">
        <f>+(Tabla1[[#This Row],[Fecha y hora de Fin]]-Tabla1[[#This Row],[Fecha y hora de incio]])*24</f>
        <v>5.4999999999417923</v>
      </c>
      <c r="K105" t="s">
        <v>19</v>
      </c>
    </row>
    <row r="106" spans="2:11">
      <c r="B106" t="s">
        <v>11</v>
      </c>
      <c r="C106" s="5" t="s">
        <v>12</v>
      </c>
      <c r="D106" t="s">
        <v>53</v>
      </c>
      <c r="E106" t="s">
        <v>177</v>
      </c>
      <c r="F106" t="s">
        <v>52</v>
      </c>
      <c r="G106" t="str">
        <f>+VLOOKUP(Tabla1[[#This Row],[Responsable]],Hoja2!$B$19:$C$36,2,FALSE)</f>
        <v>MODELADOR ME</v>
      </c>
      <c r="H106" s="3">
        <v>46174.3125</v>
      </c>
      <c r="I106" s="3">
        <v>46174.541666666664</v>
      </c>
      <c r="J106" s="1">
        <f>+(Tabla1[[#This Row],[Fecha y hora de Fin]]-Tabla1[[#This Row],[Fecha y hora de incio]])*24</f>
        <v>5.4999999999417923</v>
      </c>
      <c r="K106" t="s">
        <v>19</v>
      </c>
    </row>
    <row r="107" spans="2:11">
      <c r="B107" t="s">
        <v>11</v>
      </c>
      <c r="C107" s="5" t="s">
        <v>12</v>
      </c>
      <c r="D107" t="s">
        <v>53</v>
      </c>
      <c r="E107" t="s">
        <v>178</v>
      </c>
      <c r="F107" t="s">
        <v>52</v>
      </c>
      <c r="G107" t="str">
        <f>+VLOOKUP(Tabla1[[#This Row],[Responsable]],Hoja2!$B$19:$C$36,2,FALSE)</f>
        <v>MODELADOR ME</v>
      </c>
      <c r="H107" s="3">
        <v>46174.583333333336</v>
      </c>
      <c r="I107" s="3">
        <v>46174.75</v>
      </c>
      <c r="J107" s="1">
        <f>+(Tabla1[[#This Row],[Fecha y hora de Fin]]-Tabla1[[#This Row],[Fecha y hora de incio]])*24</f>
        <v>3.9999999999417923</v>
      </c>
      <c r="K107" t="s">
        <v>19</v>
      </c>
    </row>
    <row r="108" spans="2:11">
      <c r="B108" t="s">
        <v>11</v>
      </c>
      <c r="C108" s="5" t="s">
        <v>12</v>
      </c>
      <c r="D108" t="s">
        <v>179</v>
      </c>
      <c r="E108" t="s">
        <v>180</v>
      </c>
      <c r="F108" t="s">
        <v>39</v>
      </c>
      <c r="G108" t="str">
        <f>+VLOOKUP(Tabla1[[#This Row],[Responsable]],Hoja2!$B$19:$C$36,2,FALSE)</f>
        <v>MODELADOR ME</v>
      </c>
      <c r="H108" s="3">
        <v>46174.5625</v>
      </c>
      <c r="I108" s="3">
        <v>46174.75</v>
      </c>
      <c r="J108" s="1">
        <f>+(Tabla1[[#This Row],[Fecha y hora de Fin]]-Tabla1[[#This Row],[Fecha y hora de incio]])*24</f>
        <v>4.5</v>
      </c>
    </row>
    <row r="109" spans="2:11">
      <c r="B109" t="s">
        <v>130</v>
      </c>
      <c r="C109" s="5" t="s">
        <v>12</v>
      </c>
      <c r="D109" t="s">
        <v>172</v>
      </c>
      <c r="E109" t="s">
        <v>173</v>
      </c>
      <c r="F109" t="s">
        <v>18</v>
      </c>
      <c r="G109" t="str">
        <f>+VLOOKUP(Tabla1[[#This Row],[Responsable]],Hoja2!$B$19:$C$36,2,FALSE)</f>
        <v>PRACTICANTE ME</v>
      </c>
      <c r="H109" s="3">
        <v>46174.583333333336</v>
      </c>
      <c r="I109" s="3">
        <v>46174.75</v>
      </c>
      <c r="J109" s="1">
        <f>+(Tabla1[[#This Row],[Fecha y hora de Fin]]-Tabla1[[#This Row],[Fecha y hora de incio]])*24</f>
        <v>3.9999999999417923</v>
      </c>
      <c r="K109" t="s">
        <v>46</v>
      </c>
    </row>
    <row r="110" spans="2:11">
      <c r="B110" t="s">
        <v>11</v>
      </c>
      <c r="C110" s="5" t="s">
        <v>12</v>
      </c>
      <c r="D110" t="s">
        <v>89</v>
      </c>
      <c r="E110" t="s">
        <v>22</v>
      </c>
      <c r="F110" t="s">
        <v>26</v>
      </c>
      <c r="G110" t="str">
        <f>+VLOOKUP(Tabla1[[#This Row],[Responsable]],Hoja2!$B$19:$C$36,2,FALSE)</f>
        <v>MODELADOR OC</v>
      </c>
      <c r="H110" s="3">
        <v>46174.583333333336</v>
      </c>
      <c r="I110" s="3">
        <v>46174.75</v>
      </c>
      <c r="J110" s="1">
        <f>+(Tabla1[[#This Row],[Fecha y hora de Fin]]-Tabla1[[#This Row],[Fecha y hora de incio]])*24</f>
        <v>3.9999999999417923</v>
      </c>
      <c r="K110" t="s">
        <v>19</v>
      </c>
    </row>
    <row r="111" spans="2:11">
      <c r="C111" s="5" t="s">
        <v>12</v>
      </c>
      <c r="E111" t="s">
        <v>181</v>
      </c>
      <c r="F111" t="s">
        <v>102</v>
      </c>
      <c r="G111" t="str">
        <f>+VLOOKUP(Tabla1[[#This Row],[Responsable]],Hoja2!$B$19:$C$36,2,FALSE)</f>
        <v>MODELADOR OC</v>
      </c>
      <c r="H111" s="3">
        <v>46174.604166666664</v>
      </c>
      <c r="I111" s="3">
        <v>46174.75</v>
      </c>
      <c r="J111" s="1">
        <f>+(Tabla1[[#This Row],[Fecha y hora de Fin]]-Tabla1[[#This Row],[Fecha y hora de incio]])*24</f>
        <v>3.5000000000582077</v>
      </c>
    </row>
    <row r="112" spans="2:11">
      <c r="B112" t="s">
        <v>147</v>
      </c>
      <c r="C112" s="5" t="s">
        <v>12</v>
      </c>
      <c r="E112" t="s">
        <v>182</v>
      </c>
      <c r="F112" t="s">
        <v>102</v>
      </c>
      <c r="G112" t="str">
        <f>+VLOOKUP(Tabla1[[#This Row],[Responsable]],Hoja2!$B$19:$C$36,2,FALSE)</f>
        <v>MODELADOR OC</v>
      </c>
      <c r="H112" s="3">
        <v>46174.3125</v>
      </c>
      <c r="I112" s="3">
        <v>46174.583333333336</v>
      </c>
      <c r="J112" s="1">
        <f>+(Tabla1[[#This Row],[Fecha y hora de Fin]]-Tabla1[[#This Row],[Fecha y hora de incio]])*24</f>
        <v>6.5000000000582077</v>
      </c>
    </row>
    <row r="113" spans="2:11">
      <c r="B113" t="s">
        <v>62</v>
      </c>
      <c r="C113" s="5" t="s">
        <v>12</v>
      </c>
      <c r="D113" t="s">
        <v>63</v>
      </c>
      <c r="E113" t="s">
        <v>183</v>
      </c>
      <c r="F113" t="s">
        <v>65</v>
      </c>
      <c r="G113" t="str">
        <f>+VLOOKUP(Tabla1[[#This Row],[Responsable]],Hoja2!$B$19:$C$36,2,FALSE)</f>
        <v>MODELADOR ME</v>
      </c>
      <c r="H113" s="3">
        <v>46174.3125</v>
      </c>
      <c r="I113" s="3">
        <v>46174.395833333336</v>
      </c>
      <c r="J113" s="1">
        <f>+(Tabla1[[#This Row],[Fecha y hora de Fin]]-Tabla1[[#This Row],[Fecha y hora de incio]])*24</f>
        <v>2.0000000000582077</v>
      </c>
      <c r="K113" t="s">
        <v>115</v>
      </c>
    </row>
    <row r="114" spans="2:11">
      <c r="B114" t="s">
        <v>62</v>
      </c>
      <c r="C114" s="5" t="s">
        <v>12</v>
      </c>
      <c r="D114" t="s">
        <v>67</v>
      </c>
      <c r="E114" t="s">
        <v>68</v>
      </c>
      <c r="F114" t="s">
        <v>65</v>
      </c>
      <c r="G114" t="str">
        <f>+VLOOKUP(Tabla1[[#This Row],[Responsable]],Hoja2!$B$19:$C$36,2,FALSE)</f>
        <v>MODELADOR ME</v>
      </c>
      <c r="H114" s="3">
        <v>46174.453472222223</v>
      </c>
      <c r="I114" s="3">
        <v>46174.552777777775</v>
      </c>
      <c r="J114" s="1">
        <f>+(Tabla1[[#This Row],[Fecha y hora de Fin]]-Tabla1[[#This Row],[Fecha y hora de incio]])*24</f>
        <v>2.3833333332440816</v>
      </c>
      <c r="K114" t="s">
        <v>143</v>
      </c>
    </row>
    <row r="115" spans="2:11">
      <c r="B115" t="s">
        <v>62</v>
      </c>
      <c r="C115" s="5" t="s">
        <v>12</v>
      </c>
      <c r="D115" t="s">
        <v>76</v>
      </c>
      <c r="E115" t="s">
        <v>77</v>
      </c>
      <c r="F115" t="s">
        <v>65</v>
      </c>
      <c r="G115" t="str">
        <f>+VLOOKUP(Tabla1[[#This Row],[Responsable]],Hoja2!$B$19:$C$36,2,FALSE)</f>
        <v>MODELADOR ME</v>
      </c>
      <c r="H115" s="3">
        <v>46174.697222222225</v>
      </c>
      <c r="I115" s="3">
        <v>46174.770833333336</v>
      </c>
      <c r="J115" s="1">
        <f>+(Tabla1[[#This Row],[Fecha y hora de Fin]]-Tabla1[[#This Row],[Fecha y hora de incio]])*24</f>
        <v>1.7666666666627862</v>
      </c>
      <c r="K115" t="s">
        <v>184</v>
      </c>
    </row>
    <row r="116" spans="2:11">
      <c r="B116" t="s">
        <v>62</v>
      </c>
      <c r="C116" s="5" t="s">
        <v>12</v>
      </c>
      <c r="D116" t="s">
        <v>70</v>
      </c>
      <c r="E116" t="s">
        <v>71</v>
      </c>
      <c r="F116" t="s">
        <v>65</v>
      </c>
      <c r="G116" t="str">
        <f>+VLOOKUP(Tabla1[[#This Row],[Responsable]],Hoja2!$B$19:$C$36,2,FALSE)</f>
        <v>MODELADOR ME</v>
      </c>
      <c r="H116" s="3">
        <v>46174.382638888892</v>
      </c>
      <c r="I116" s="3">
        <v>46174.563888888886</v>
      </c>
      <c r="J116" s="1">
        <f>+(Tabla1[[#This Row],[Fecha y hora de Fin]]-Tabla1[[#This Row],[Fecha y hora de incio]])*24</f>
        <v>4.3499999998603016</v>
      </c>
      <c r="K116" t="s">
        <v>185</v>
      </c>
    </row>
    <row r="117" spans="2:11">
      <c r="B117" t="s">
        <v>62</v>
      </c>
      <c r="C117" s="5" t="s">
        <v>12</v>
      </c>
      <c r="D117" t="s">
        <v>186</v>
      </c>
      <c r="E117" t="s">
        <v>187</v>
      </c>
      <c r="F117" t="s">
        <v>65</v>
      </c>
      <c r="G117" t="str">
        <f>+VLOOKUP(Tabla1[[#This Row],[Responsable]],Hoja2!$B$19:$C$36,2,FALSE)</f>
        <v>MODELADOR ME</v>
      </c>
      <c r="H117" s="3">
        <v>46174.677083333336</v>
      </c>
      <c r="I117" s="3">
        <v>46174.738194444442</v>
      </c>
      <c r="J117" s="1">
        <f>+(Tabla1[[#This Row],[Fecha y hora de Fin]]-Tabla1[[#This Row],[Fecha y hora de incio]])*24</f>
        <v>1.4666666665580124</v>
      </c>
      <c r="K117" t="s">
        <v>185</v>
      </c>
    </row>
    <row r="118" spans="2:11">
      <c r="B118" t="s">
        <v>49</v>
      </c>
      <c r="C118" s="5" t="s">
        <v>12</v>
      </c>
      <c r="D118" t="s">
        <v>188</v>
      </c>
      <c r="E118" t="s">
        <v>189</v>
      </c>
      <c r="F118" t="s">
        <v>45</v>
      </c>
      <c r="G118" t="str">
        <f>+VLOOKUP(Tabla1[[#This Row],[Responsable]],Hoja2!$B$19:$C$36,2,FALSE)</f>
        <v>MODELADOR OC</v>
      </c>
      <c r="H118" s="3">
        <v>46175.3125</v>
      </c>
      <c r="I118" s="3">
        <v>46178.75</v>
      </c>
      <c r="J118" s="1">
        <f>+(Tabla1[[#This Row],[Fecha y hora de Fin]]-Tabla1[[#This Row],[Fecha y hora de incio]])*24</f>
        <v>82.5</v>
      </c>
      <c r="K118" t="s">
        <v>190</v>
      </c>
    </row>
    <row r="119" spans="2:11">
      <c r="B119" t="s">
        <v>11</v>
      </c>
      <c r="C119" t="s">
        <v>191</v>
      </c>
      <c r="D119" t="s">
        <v>89</v>
      </c>
      <c r="E119" t="s">
        <v>22</v>
      </c>
      <c r="F119" t="s">
        <v>23</v>
      </c>
      <c r="G119" t="str">
        <f>+VLOOKUP(Tabla1[[#This Row],[Responsable]],Hoja2!$B$19:$C$36,2,FALSE)</f>
        <v>MODELADOR OC</v>
      </c>
      <c r="H119" s="21">
        <v>46174.3125</v>
      </c>
      <c r="I119" s="3">
        <v>46178.75</v>
      </c>
      <c r="J119" s="1">
        <f>+(Tabla1[[#This Row],[Fecha y hora de Fin]]-Tabla1[[#This Row],[Fecha y hora de incio]])*24</f>
        <v>106.5</v>
      </c>
      <c r="K119" t="s">
        <v>190</v>
      </c>
    </row>
    <row r="120" spans="2:11">
      <c r="B120" t="s">
        <v>20</v>
      </c>
      <c r="C120" s="5" t="s">
        <v>12</v>
      </c>
      <c r="D120" t="s">
        <v>21</v>
      </c>
      <c r="E120" t="s">
        <v>22</v>
      </c>
      <c r="F120" t="s">
        <v>23</v>
      </c>
      <c r="G120" t="str">
        <f>+VLOOKUP(Tabla1[[#This Row],[Responsable]],Hoja2!$B$19:$C$36,2,FALSE)</f>
        <v>MODELADOR OC</v>
      </c>
      <c r="H120" s="21">
        <v>46175.3125</v>
      </c>
      <c r="I120" s="3"/>
      <c r="J120" s="1">
        <f>+(Tabla1[[#This Row],[Fecha y hora de Fin]]-Tabla1[[#This Row],[Fecha y hora de incio]])*24</f>
        <v>-1108207.5</v>
      </c>
      <c r="K120" t="s">
        <v>190</v>
      </c>
    </row>
    <row r="121" spans="2:11" ht="15">
      <c r="B121" t="s">
        <v>62</v>
      </c>
      <c r="C121" s="5" t="s">
        <v>12</v>
      </c>
      <c r="D121" t="s">
        <v>63</v>
      </c>
      <c r="E121" t="s">
        <v>192</v>
      </c>
      <c r="F121" t="s">
        <v>65</v>
      </c>
      <c r="G121" t="str">
        <f>+VLOOKUP(Tabla1[[#This Row],[Responsable]],Hoja2!$B$19:$C$36,2,FALSE)</f>
        <v>MODELADOR ME</v>
      </c>
      <c r="H121" s="24">
        <v>46175.3125</v>
      </c>
      <c r="I121" s="3">
        <v>46175.760416666664</v>
      </c>
      <c r="J121" s="1">
        <f>+(Tabla1[[#This Row],[Fecha y hora de Fin]]-Tabla1[[#This Row],[Fecha y hora de incio]])*24</f>
        <v>10.749999999941792</v>
      </c>
      <c r="K121" t="s">
        <v>193</v>
      </c>
    </row>
    <row r="122" spans="2:11" ht="15">
      <c r="B122" t="s">
        <v>62</v>
      </c>
      <c r="C122" s="5" t="s">
        <v>12</v>
      </c>
      <c r="D122" t="s">
        <v>67</v>
      </c>
      <c r="E122" t="s">
        <v>68</v>
      </c>
      <c r="F122" t="s">
        <v>65</v>
      </c>
      <c r="G122" t="str">
        <f>+VLOOKUP(Tabla1[[#This Row],[Responsable]],Hoja2!$B$19:$C$36,2,FALSE)</f>
        <v>MODELADOR ME</v>
      </c>
      <c r="H122" s="24">
        <v>46175.453472222223</v>
      </c>
      <c r="I122" s="23">
        <v>46175.552777777775</v>
      </c>
      <c r="J122" s="1">
        <f>+(Tabla1[[#This Row],[Fecha y hora de Fin]]-Tabla1[[#This Row],[Fecha y hora de incio]])*24</f>
        <v>2.3833333332440816</v>
      </c>
      <c r="K122" t="s">
        <v>184</v>
      </c>
    </row>
    <row r="123" spans="2:11" ht="15">
      <c r="B123" t="s">
        <v>62</v>
      </c>
      <c r="C123" s="5" t="s">
        <v>12</v>
      </c>
      <c r="D123" t="s">
        <v>186</v>
      </c>
      <c r="E123" t="s">
        <v>194</v>
      </c>
      <c r="F123" t="s">
        <v>65</v>
      </c>
      <c r="G123" t="str">
        <f>+VLOOKUP(Tabla1[[#This Row],[Responsable]],Hoja2!$B$19:$C$36,2,FALSE)</f>
        <v>MODELADOR ME</v>
      </c>
      <c r="H123" s="24">
        <v>46175.362500000003</v>
      </c>
      <c r="I123" s="23">
        <v>46175.659722222219</v>
      </c>
      <c r="J123" s="1">
        <f>+(Tabla1[[#This Row],[Fecha y hora de Fin]]-Tabla1[[#This Row],[Fecha y hora de incio]])*24</f>
        <v>7.1333333331858739</v>
      </c>
      <c r="K123" t="s">
        <v>185</v>
      </c>
    </row>
    <row r="124" spans="2:11">
      <c r="B124" t="s">
        <v>11</v>
      </c>
      <c r="C124" s="5" t="s">
        <v>12</v>
      </c>
      <c r="D124" t="s">
        <v>195</v>
      </c>
      <c r="E124" t="s">
        <v>196</v>
      </c>
      <c r="F124" t="s">
        <v>18</v>
      </c>
      <c r="G124" t="str">
        <f>+VLOOKUP(Tabla1[[#This Row],[Responsable]],Hoja2!$B$19:$C$36,2,FALSE)</f>
        <v>PRACTICANTE ME</v>
      </c>
      <c r="H124" s="21">
        <v>46175.3125</v>
      </c>
      <c r="I124" s="21">
        <v>46175.541666666664</v>
      </c>
      <c r="J124" s="1">
        <f>+(Tabla1[[#This Row],[Fecha y hora de Fin]]-Tabla1[[#This Row],[Fecha y hora de incio]])*24</f>
        <v>5.4999999999417923</v>
      </c>
      <c r="K124" t="s">
        <v>46</v>
      </c>
    </row>
    <row r="125" spans="2:11">
      <c r="B125" t="s">
        <v>147</v>
      </c>
      <c r="C125" s="5" t="s">
        <v>12</v>
      </c>
      <c r="E125" t="s">
        <v>197</v>
      </c>
      <c r="F125" t="s">
        <v>102</v>
      </c>
      <c r="G125" t="str">
        <f>+VLOOKUP(Tabla1[[#This Row],[Responsable]],Hoja2!$B$19:$C$36,2,FALSE)</f>
        <v>MODELADOR OC</v>
      </c>
      <c r="H125" s="21">
        <v>46175.3125</v>
      </c>
      <c r="I125" s="21">
        <v>46175.708333333336</v>
      </c>
      <c r="J125" s="1">
        <f>+(Tabla1[[#This Row],[Fecha y hora de Fin]]-Tabla1[[#This Row],[Fecha y hora de incio]])*24</f>
        <v>9.5000000000582077</v>
      </c>
    </row>
    <row r="126" spans="2:11">
      <c r="B126" t="s">
        <v>92</v>
      </c>
      <c r="C126" s="5" t="s">
        <v>12</v>
      </c>
      <c r="E126" t="s">
        <v>197</v>
      </c>
      <c r="F126" t="s">
        <v>102</v>
      </c>
      <c r="G126" t="str">
        <f>+VLOOKUP(Tabla1[[#This Row],[Responsable]],Hoja2!$B$19:$C$36,2,FALSE)</f>
        <v>MODELADOR OC</v>
      </c>
      <c r="H126" s="21">
        <v>46176.3125</v>
      </c>
      <c r="I126" s="21">
        <v>46176.541666666664</v>
      </c>
      <c r="J126" s="1">
        <f>+(Tabla1[[#This Row],[Fecha y hora de Fin]]-Tabla1[[#This Row],[Fecha y hora de incio]])*24</f>
        <v>5.4999999999417923</v>
      </c>
    </row>
    <row r="127" spans="2:11">
      <c r="B127" t="s">
        <v>11</v>
      </c>
      <c r="C127" s="5" t="s">
        <v>12</v>
      </c>
      <c r="D127" t="s">
        <v>198</v>
      </c>
      <c r="E127" t="s">
        <v>199</v>
      </c>
      <c r="F127" t="s">
        <v>18</v>
      </c>
      <c r="G127" t="str">
        <f>+VLOOKUP(Tabla1[[#This Row],[Responsable]],Hoja2!$B$19:$C$36,2,FALSE)</f>
        <v>PRACTICANTE ME</v>
      </c>
      <c r="H127" s="21">
        <v>46176.3125</v>
      </c>
      <c r="I127" s="21">
        <v>46176.541666666664</v>
      </c>
      <c r="J127" s="1">
        <f>+(Tabla1[[#This Row],[Fecha y hora de Fin]]-Tabla1[[#This Row],[Fecha y hora de incio]])*24</f>
        <v>5.4999999999417923</v>
      </c>
    </row>
    <row r="128" spans="2:11">
      <c r="B128" t="s">
        <v>49</v>
      </c>
      <c r="C128" s="5" t="s">
        <v>12</v>
      </c>
      <c r="D128" t="s">
        <v>200</v>
      </c>
      <c r="E128" t="s">
        <v>201</v>
      </c>
      <c r="F128" t="s">
        <v>18</v>
      </c>
      <c r="G128" t="str">
        <f>+VLOOKUP(Tabla1[[#This Row],[Responsable]],Hoja2!$B$19:$C$36,2,FALSE)</f>
        <v>PRACTICANTE ME</v>
      </c>
      <c r="H128" s="21">
        <v>46176.583333333336</v>
      </c>
      <c r="I128" s="21">
        <v>46176.75</v>
      </c>
      <c r="J128" s="1">
        <f>+(Tabla1[[#This Row],[Fecha y hora de Fin]]-Tabla1[[#This Row],[Fecha y hora de incio]])*24</f>
        <v>3.9999999999417923</v>
      </c>
    </row>
    <row r="129" spans="2:11" ht="15">
      <c r="B129" t="s">
        <v>62</v>
      </c>
      <c r="C129" s="5" t="s">
        <v>12</v>
      </c>
      <c r="D129" t="s">
        <v>63</v>
      </c>
      <c r="E129" t="s">
        <v>64</v>
      </c>
      <c r="F129" t="s">
        <v>65</v>
      </c>
      <c r="G129" t="str">
        <f>+VLOOKUP(Tabla1[[#This Row],[Responsable]],Hoja2!$B$19:$C$36,2,FALSE)</f>
        <v>MODELADOR ME</v>
      </c>
      <c r="H129" s="24">
        <v>46176.3125</v>
      </c>
      <c r="I129" s="24">
        <v>46176.575694444444</v>
      </c>
      <c r="J129" s="1">
        <f>+(Tabla1[[#This Row],[Fecha y hora de Fin]]-Tabla1[[#This Row],[Fecha y hora de incio]])*24</f>
        <v>6.3166666666511446</v>
      </c>
      <c r="K129" t="s">
        <v>202</v>
      </c>
    </row>
    <row r="130" spans="2:11" ht="15">
      <c r="B130" t="s">
        <v>62</v>
      </c>
      <c r="C130" s="5" t="s">
        <v>12</v>
      </c>
      <c r="D130" t="s">
        <v>203</v>
      </c>
      <c r="E130" t="s">
        <v>204</v>
      </c>
      <c r="F130" t="s">
        <v>65</v>
      </c>
      <c r="G130" t="str">
        <f>+VLOOKUP(Tabla1[[#This Row],[Responsable]],Hoja2!$B$19:$C$36,2,FALSE)</f>
        <v>MODELADOR ME</v>
      </c>
      <c r="H130" s="24">
        <v>46176.604166666664</v>
      </c>
      <c r="I130" s="24">
        <v>46176.76666666667</v>
      </c>
      <c r="J130" s="1">
        <f>+(Tabla1[[#This Row],[Fecha y hora de Fin]]-Tabla1[[#This Row],[Fecha y hora de incio]])*24</f>
        <v>3.9000000001396984</v>
      </c>
      <c r="K130" t="s">
        <v>205</v>
      </c>
    </row>
    <row r="131" spans="2:11">
      <c r="B131" t="s">
        <v>11</v>
      </c>
      <c r="C131" s="5" t="s">
        <v>12</v>
      </c>
      <c r="D131" t="s">
        <v>89</v>
      </c>
      <c r="E131" t="s">
        <v>22</v>
      </c>
      <c r="F131" t="s">
        <v>26</v>
      </c>
      <c r="G131" t="str">
        <f>+VLOOKUP(Tabla1[[#This Row],[Responsable]],Hoja2!$B$19:$C$36,2,FALSE)</f>
        <v>MODELADOR OC</v>
      </c>
      <c r="H131" s="3">
        <v>46175.3125</v>
      </c>
      <c r="I131" s="3">
        <v>46175.75</v>
      </c>
      <c r="J131" s="1">
        <f>+(Tabla1[[#This Row],[Fecha y hora de Fin]]-Tabla1[[#This Row],[Fecha y hora de incio]])*24</f>
        <v>10.5</v>
      </c>
      <c r="K131" t="s">
        <v>19</v>
      </c>
    </row>
    <row r="132" spans="2:11">
      <c r="B132" t="s">
        <v>11</v>
      </c>
      <c r="C132" s="5" t="s">
        <v>12</v>
      </c>
      <c r="D132" t="s">
        <v>89</v>
      </c>
      <c r="E132" t="s">
        <v>22</v>
      </c>
      <c r="F132" t="s">
        <v>26</v>
      </c>
      <c r="G132" t="str">
        <f>+VLOOKUP(Tabla1[[#This Row],[Responsable]],Hoja2!$B$19:$C$36,2,FALSE)</f>
        <v>MODELADOR OC</v>
      </c>
      <c r="H132" s="3">
        <v>46176.3125</v>
      </c>
      <c r="I132" s="3">
        <v>46176.75</v>
      </c>
      <c r="J132" s="1">
        <f>+(Tabla1[[#This Row],[Fecha y hora de Fin]]-Tabla1[[#This Row],[Fecha y hora de incio]])*24</f>
        <v>10.5</v>
      </c>
      <c r="K132" t="s">
        <v>19</v>
      </c>
    </row>
    <row r="133" spans="2:11">
      <c r="B133" t="s">
        <v>11</v>
      </c>
      <c r="C133" s="5" t="s">
        <v>12</v>
      </c>
      <c r="D133" t="s">
        <v>89</v>
      </c>
      <c r="E133" t="s">
        <v>22</v>
      </c>
      <c r="F133" t="s">
        <v>26</v>
      </c>
      <c r="G133" t="str">
        <f>+VLOOKUP(Tabla1[[#This Row],[Responsable]],Hoja2!$B$19:$C$36,2,FALSE)</f>
        <v>MODELADOR OC</v>
      </c>
      <c r="H133" s="3">
        <v>46177.3125</v>
      </c>
      <c r="I133" s="3">
        <v>46177.75</v>
      </c>
      <c r="J133" s="1">
        <f>+(Tabla1[[#This Row],[Fecha y hora de Fin]]-Tabla1[[#This Row],[Fecha y hora de incio]])*24</f>
        <v>10.5</v>
      </c>
      <c r="K133" t="s">
        <v>19</v>
      </c>
    </row>
    <row r="134" spans="2:11">
      <c r="B134" t="s">
        <v>62</v>
      </c>
      <c r="C134" s="5" t="s">
        <v>12</v>
      </c>
      <c r="D134" t="s">
        <v>62</v>
      </c>
      <c r="E134" t="s">
        <v>206</v>
      </c>
      <c r="F134" t="s">
        <v>98</v>
      </c>
      <c r="G134" t="str">
        <f>+VLOOKUP(Tabla1[[#This Row],[Responsable]],Hoja2!$B$19:$C$36,2,FALSE)</f>
        <v>MODELADOR OC</v>
      </c>
      <c r="H134" s="21">
        <v>46174.3125</v>
      </c>
      <c r="I134" s="21">
        <v>46174.75</v>
      </c>
      <c r="J134" s="1">
        <f>+(Tabla1[[#This Row],[Fecha y hora de Fin]]-Tabla1[[#This Row],[Fecha y hora de incio]])*24</f>
        <v>10.5</v>
      </c>
      <c r="K134" t="s">
        <v>190</v>
      </c>
    </row>
    <row r="135" spans="2:11">
      <c r="B135" t="s">
        <v>62</v>
      </c>
      <c r="C135" s="5" t="s">
        <v>12</v>
      </c>
      <c r="D135" t="s">
        <v>62</v>
      </c>
      <c r="E135" t="s">
        <v>206</v>
      </c>
      <c r="F135" t="s">
        <v>98</v>
      </c>
      <c r="G135" t="str">
        <f>+VLOOKUP(Tabla1[[#This Row],[Responsable]],Hoja2!$B$19:$C$36,2,FALSE)</f>
        <v>MODELADOR OC</v>
      </c>
      <c r="H135" s="21">
        <v>46175.3125</v>
      </c>
      <c r="I135" s="21">
        <v>46175.75</v>
      </c>
      <c r="J135" s="1">
        <f>+(Tabla1[[#This Row],[Fecha y hora de Fin]]-Tabla1[[#This Row],[Fecha y hora de incio]])*24</f>
        <v>10.5</v>
      </c>
      <c r="K135" t="s">
        <v>190</v>
      </c>
    </row>
    <row r="136" spans="2:11">
      <c r="B136" t="s">
        <v>207</v>
      </c>
      <c r="C136" s="5" t="s">
        <v>12</v>
      </c>
      <c r="D136" t="s">
        <v>207</v>
      </c>
      <c r="E136" t="s">
        <v>208</v>
      </c>
      <c r="F136" t="s">
        <v>98</v>
      </c>
      <c r="G136" t="str">
        <f>+VLOOKUP(Tabla1[[#This Row],[Responsable]],Hoja2!$B$19:$C$36,2,FALSE)</f>
        <v>MODELADOR OC</v>
      </c>
      <c r="H136" s="21">
        <v>46176.3125</v>
      </c>
      <c r="I136" s="21">
        <v>46176.75</v>
      </c>
      <c r="J136" s="1">
        <f>+(Tabla1[[#This Row],[Fecha y hora de Fin]]-Tabla1[[#This Row],[Fecha y hora de incio]])*24</f>
        <v>10.5</v>
      </c>
      <c r="K136" t="s">
        <v>209</v>
      </c>
    </row>
    <row r="137" spans="2:11">
      <c r="B137" t="s">
        <v>207</v>
      </c>
      <c r="C137" s="5" t="s">
        <v>12</v>
      </c>
      <c r="D137" t="s">
        <v>207</v>
      </c>
      <c r="E137" t="s">
        <v>208</v>
      </c>
      <c r="F137" t="s">
        <v>98</v>
      </c>
      <c r="G137" t="str">
        <f>+VLOOKUP(Tabla1[[#This Row],[Responsable]],Hoja2!$B$19:$C$36,2,FALSE)</f>
        <v>MODELADOR OC</v>
      </c>
      <c r="H137" s="21">
        <v>46177.3125</v>
      </c>
      <c r="I137" s="21">
        <v>46177.75</v>
      </c>
      <c r="J137" s="1">
        <f>+(Tabla1[[#This Row],[Fecha y hora de Fin]]-Tabla1[[#This Row],[Fecha y hora de incio]])*24</f>
        <v>10.5</v>
      </c>
      <c r="K137" t="s">
        <v>209</v>
      </c>
    </row>
    <row r="138" spans="2:11">
      <c r="B138" t="s">
        <v>207</v>
      </c>
      <c r="C138" s="5" t="s">
        <v>12</v>
      </c>
      <c r="D138" t="s">
        <v>207</v>
      </c>
      <c r="E138" t="s">
        <v>208</v>
      </c>
      <c r="F138" t="s">
        <v>98</v>
      </c>
      <c r="G138" t="str">
        <f>+VLOOKUP(Tabla1[[#This Row],[Responsable]],Hoja2!$B$19:$C$36,2,FALSE)</f>
        <v>MODELADOR OC</v>
      </c>
      <c r="H138" s="21">
        <v>46178.3125</v>
      </c>
      <c r="I138" s="21">
        <v>46178.5625</v>
      </c>
      <c r="J138" s="1">
        <f>+(Tabla1[[#This Row],[Fecha y hora de Fin]]-Tabla1[[#This Row],[Fecha y hora de incio]])*24</f>
        <v>6</v>
      </c>
      <c r="K138" t="s">
        <v>209</v>
      </c>
    </row>
    <row r="139" spans="2:11">
      <c r="B139" t="s">
        <v>11</v>
      </c>
      <c r="C139" s="5" t="s">
        <v>12</v>
      </c>
      <c r="D139" t="s">
        <v>53</v>
      </c>
      <c r="E139" t="s">
        <v>86</v>
      </c>
      <c r="F139" t="s">
        <v>39</v>
      </c>
      <c r="G139" t="s">
        <v>210</v>
      </c>
      <c r="H139" s="3">
        <v>46175.3125</v>
      </c>
      <c r="I139" s="21">
        <v>46175.75</v>
      </c>
      <c r="J139" s="1">
        <v>9.5</v>
      </c>
      <c r="K139" t="s">
        <v>209</v>
      </c>
    </row>
    <row r="140" spans="2:11">
      <c r="B140" t="s">
        <v>49</v>
      </c>
      <c r="C140" s="5" t="s">
        <v>12</v>
      </c>
      <c r="D140" t="s">
        <v>211</v>
      </c>
      <c r="E140" t="s">
        <v>212</v>
      </c>
      <c r="F140" t="s">
        <v>18</v>
      </c>
      <c r="G140" t="str">
        <f>+VLOOKUP(Tabla1[[#This Row],[Responsable]],Hoja2!$B$19:$C$36,2,FALSE)</f>
        <v>PRACTICANTE ME</v>
      </c>
      <c r="H140" s="21">
        <v>46177.3125</v>
      </c>
      <c r="I140" s="21">
        <v>46177.75</v>
      </c>
      <c r="J140" s="1">
        <v>9.5</v>
      </c>
    </row>
    <row r="141" spans="2:11">
      <c r="B141" t="s">
        <v>11</v>
      </c>
      <c r="C141" s="5" t="s">
        <v>12</v>
      </c>
      <c r="D141" t="s">
        <v>53</v>
      </c>
      <c r="E141" t="s">
        <v>86</v>
      </c>
      <c r="F141" t="s">
        <v>39</v>
      </c>
      <c r="G141" t="s">
        <v>210</v>
      </c>
      <c r="H141" s="21">
        <v>46176.3125</v>
      </c>
      <c r="I141" s="21">
        <v>46176.75</v>
      </c>
      <c r="J141" s="1">
        <v>9.5</v>
      </c>
    </row>
    <row r="142" spans="2:11">
      <c r="B142" t="s">
        <v>11</v>
      </c>
      <c r="C142" s="5" t="s">
        <v>12</v>
      </c>
      <c r="D142" t="s">
        <v>174</v>
      </c>
      <c r="E142" t="s">
        <v>213</v>
      </c>
      <c r="F142" t="s">
        <v>39</v>
      </c>
      <c r="G142" t="s">
        <v>210</v>
      </c>
      <c r="H142" s="21">
        <v>46177.3125</v>
      </c>
      <c r="I142" s="21">
        <v>46177.75</v>
      </c>
      <c r="J142" s="1">
        <v>9.5</v>
      </c>
    </row>
    <row r="143" spans="2:11" ht="15">
      <c r="B143" t="s">
        <v>62</v>
      </c>
      <c r="C143" s="5" t="s">
        <v>12</v>
      </c>
      <c r="D143" t="s">
        <v>63</v>
      </c>
      <c r="E143" t="s">
        <v>64</v>
      </c>
      <c r="F143" t="s">
        <v>65</v>
      </c>
      <c r="G143" t="str">
        <f>+VLOOKUP(Tabla1[[#This Row],[Responsable]],Hoja2!$B$19:$C$36,2,FALSE)</f>
        <v>MODELADOR ME</v>
      </c>
      <c r="H143" s="24">
        <v>46177.3125</v>
      </c>
      <c r="I143" s="24">
        <v>46177.681250000001</v>
      </c>
      <c r="J143" s="1">
        <f>+(Tabla1[[#This Row],[Fecha y hora de Fin]]-Tabla1[[#This Row],[Fecha y hora de incio]])*24</f>
        <v>8.8500000000349246</v>
      </c>
      <c r="K143" t="s">
        <v>205</v>
      </c>
    </row>
    <row r="144" spans="2:11" ht="15">
      <c r="B144" t="s">
        <v>62</v>
      </c>
      <c r="C144" s="5" t="s">
        <v>12</v>
      </c>
      <c r="D144" t="s">
        <v>203</v>
      </c>
      <c r="E144" t="s">
        <v>204</v>
      </c>
      <c r="F144" t="s">
        <v>65</v>
      </c>
      <c r="G144" t="str">
        <f>+VLOOKUP(Tabla1[[#This Row],[Responsable]],Hoja2!$B$19:$C$36,2,FALSE)</f>
        <v>MODELADOR ME</v>
      </c>
      <c r="H144" s="24">
        <v>46177.4375</v>
      </c>
      <c r="I144" s="24">
        <v>46177.801388888889</v>
      </c>
      <c r="J144" s="1">
        <f>+(Tabla1[[#This Row],[Fecha y hora de Fin]]-Tabla1[[#This Row],[Fecha y hora de incio]])*24</f>
        <v>8.7333333333372138</v>
      </c>
      <c r="K144" t="s">
        <v>202</v>
      </c>
    </row>
    <row r="145" spans="2:11" ht="15">
      <c r="B145" t="s">
        <v>62</v>
      </c>
      <c r="C145" s="5" t="s">
        <v>12</v>
      </c>
      <c r="D145" t="s">
        <v>203</v>
      </c>
      <c r="E145" t="s">
        <v>204</v>
      </c>
      <c r="F145" t="s">
        <v>65</v>
      </c>
      <c r="G145" t="str">
        <f>+VLOOKUP(Tabla1[[#This Row],[Responsable]],Hoja2!$B$19:$C$36,2,FALSE)</f>
        <v>MODELADOR ME</v>
      </c>
      <c r="H145" s="24">
        <v>46178.3125</v>
      </c>
      <c r="I145" s="24">
        <v>46178.5625</v>
      </c>
      <c r="J145" s="1">
        <f>+(Tabla1[[#This Row],[Fecha y hora de Fin]]-Tabla1[[#This Row],[Fecha y hora de incio]])*24</f>
        <v>6</v>
      </c>
      <c r="K145" t="s">
        <v>202</v>
      </c>
    </row>
    <row r="146" spans="2:11">
      <c r="B146" t="s">
        <v>11</v>
      </c>
      <c r="C146" s="5" t="s">
        <v>12</v>
      </c>
      <c r="D146" t="s">
        <v>179</v>
      </c>
      <c r="E146" t="s">
        <v>214</v>
      </c>
      <c r="F146" t="s">
        <v>39</v>
      </c>
      <c r="G146" t="s">
        <v>210</v>
      </c>
      <c r="H146" s="21">
        <v>46178.3125</v>
      </c>
      <c r="I146" s="21">
        <v>46178.5625</v>
      </c>
      <c r="J146" s="1">
        <v>7</v>
      </c>
    </row>
    <row r="147" spans="2:11">
      <c r="B147" t="s">
        <v>11</v>
      </c>
      <c r="C147" s="5" t="s">
        <v>12</v>
      </c>
      <c r="D147" t="s">
        <v>211</v>
      </c>
      <c r="E147" t="s">
        <v>212</v>
      </c>
      <c r="F147" t="s">
        <v>18</v>
      </c>
      <c r="G147" t="str">
        <f>+VLOOKUP(Tabla1[[#This Row],[Responsable]],Hoja2!$B$19:$C$36,2,FALSE)</f>
        <v>PRACTICANTE ME</v>
      </c>
      <c r="H147" s="21">
        <v>46178.3125</v>
      </c>
      <c r="I147" s="21">
        <v>46178.5625</v>
      </c>
      <c r="J147" s="1">
        <v>7</v>
      </c>
      <c r="K147" t="s">
        <v>215</v>
      </c>
    </row>
    <row r="148" spans="2:11">
      <c r="B148" t="s">
        <v>11</v>
      </c>
      <c r="C148" s="5" t="s">
        <v>12</v>
      </c>
      <c r="D148" t="s">
        <v>53</v>
      </c>
      <c r="E148" t="s">
        <v>86</v>
      </c>
      <c r="F148" t="s">
        <v>39</v>
      </c>
      <c r="G148" t="s">
        <v>210</v>
      </c>
      <c r="H148" s="21">
        <v>46182.3125</v>
      </c>
      <c r="I148" s="21">
        <v>46182.75</v>
      </c>
      <c r="J148" s="1">
        <v>9.5</v>
      </c>
      <c r="K148" t="s">
        <v>216</v>
      </c>
    </row>
    <row r="149" spans="2:11">
      <c r="B149" t="s">
        <v>11</v>
      </c>
      <c r="C149" s="5" t="s">
        <v>12</v>
      </c>
      <c r="D149" t="s">
        <v>53</v>
      </c>
      <c r="E149" t="s">
        <v>86</v>
      </c>
      <c r="F149" t="s">
        <v>52</v>
      </c>
      <c r="G149" t="s">
        <v>210</v>
      </c>
      <c r="H149" s="3">
        <v>46175.3125</v>
      </c>
      <c r="I149" s="21">
        <v>46175.75</v>
      </c>
      <c r="J149" s="1">
        <v>9.5</v>
      </c>
      <c r="K149" t="s">
        <v>217</v>
      </c>
    </row>
    <row r="150" spans="2:11">
      <c r="B150" t="s">
        <v>11</v>
      </c>
      <c r="C150" s="5" t="s">
        <v>12</v>
      </c>
      <c r="D150" t="s">
        <v>179</v>
      </c>
      <c r="E150" t="s">
        <v>214</v>
      </c>
      <c r="F150" t="s">
        <v>52</v>
      </c>
      <c r="G150" t="s">
        <v>210</v>
      </c>
      <c r="H150" s="3">
        <v>46176.3125</v>
      </c>
      <c r="I150" s="21">
        <v>46176.75</v>
      </c>
      <c r="J150" s="1">
        <v>9.5</v>
      </c>
      <c r="K150" t="s">
        <v>218</v>
      </c>
    </row>
    <row r="151" spans="2:11">
      <c r="B151" t="s">
        <v>11</v>
      </c>
      <c r="C151" s="5" t="s">
        <v>12</v>
      </c>
      <c r="D151" t="s">
        <v>179</v>
      </c>
      <c r="E151" t="s">
        <v>214</v>
      </c>
      <c r="F151" t="s">
        <v>52</v>
      </c>
      <c r="G151" t="s">
        <v>210</v>
      </c>
      <c r="H151" s="3">
        <v>46177.3125</v>
      </c>
      <c r="I151" s="21">
        <v>46177.75</v>
      </c>
      <c r="J151" s="1">
        <v>9.5</v>
      </c>
      <c r="K151" t="s">
        <v>219</v>
      </c>
    </row>
    <row r="152" spans="2:11">
      <c r="B152" t="s">
        <v>11</v>
      </c>
      <c r="C152" s="5" t="s">
        <v>12</v>
      </c>
      <c r="D152" t="s">
        <v>179</v>
      </c>
      <c r="E152" t="s">
        <v>214</v>
      </c>
      <c r="F152" t="s">
        <v>52</v>
      </c>
      <c r="G152" t="s">
        <v>210</v>
      </c>
      <c r="H152" s="3">
        <v>46178.3125</v>
      </c>
      <c r="I152" s="21">
        <v>46178.75</v>
      </c>
      <c r="J152" s="1">
        <v>9.5</v>
      </c>
      <c r="K152" t="s">
        <v>219</v>
      </c>
    </row>
    <row r="153" spans="2:11">
      <c r="B153" t="s">
        <v>11</v>
      </c>
      <c r="C153" s="5" t="s">
        <v>12</v>
      </c>
      <c r="D153" t="s">
        <v>179</v>
      </c>
      <c r="E153" t="s">
        <v>214</v>
      </c>
      <c r="F153" t="s">
        <v>52</v>
      </c>
      <c r="G153" t="s">
        <v>210</v>
      </c>
      <c r="H153" s="3">
        <v>46182.3125</v>
      </c>
      <c r="I153" s="21">
        <v>46182.75</v>
      </c>
      <c r="J153" s="1">
        <v>9.5</v>
      </c>
      <c r="K153" t="s">
        <v>219</v>
      </c>
    </row>
    <row r="154" spans="2:11" ht="15">
      <c r="B154" t="s">
        <v>62</v>
      </c>
      <c r="C154" s="5" t="s">
        <v>12</v>
      </c>
      <c r="D154" t="s">
        <v>63</v>
      </c>
      <c r="E154" t="s">
        <v>64</v>
      </c>
      <c r="F154" t="s">
        <v>65</v>
      </c>
      <c r="G154" t="str">
        <f>+VLOOKUP(Tabla1[[#This Row],[Responsable]],Hoja2!$B$19:$C$36,2,FALSE)</f>
        <v>MODELADOR ME</v>
      </c>
      <c r="H154" s="23">
        <v>46182.3125</v>
      </c>
      <c r="I154" s="24">
        <v>46182.517361111109</v>
      </c>
      <c r="J154" s="1">
        <f>+(Tabla1[[#This Row],[Fecha y hora de Fin]]-Tabla1[[#This Row],[Fecha y hora de incio]])*24</f>
        <v>4.9166666666278616</v>
      </c>
      <c r="K154" t="s">
        <v>205</v>
      </c>
    </row>
    <row r="155" spans="2:11" ht="15">
      <c r="B155" t="s">
        <v>62</v>
      </c>
      <c r="C155" s="5" t="s">
        <v>12</v>
      </c>
      <c r="D155" t="s">
        <v>203</v>
      </c>
      <c r="E155" t="s">
        <v>204</v>
      </c>
      <c r="F155" t="s">
        <v>65</v>
      </c>
      <c r="G155" t="str">
        <f>+VLOOKUP(Tabla1[[#This Row],[Responsable]],Hoja2!$B$19:$C$36,2,FALSE)</f>
        <v>MODELADOR ME</v>
      </c>
      <c r="H155" s="23">
        <v>46182.345138888886</v>
      </c>
      <c r="I155" s="24">
        <v>46182.768750000003</v>
      </c>
      <c r="J155" s="1">
        <f>+(Tabla1[[#This Row],[Fecha y hora de Fin]]-Tabla1[[#This Row],[Fecha y hora de incio]])*24</f>
        <v>10.166666666802485</v>
      </c>
      <c r="K155" t="s">
        <v>220</v>
      </c>
    </row>
    <row r="156" spans="2:11">
      <c r="B156" t="s">
        <v>11</v>
      </c>
      <c r="C156" s="5" t="s">
        <v>12</v>
      </c>
      <c r="D156" t="s">
        <v>145</v>
      </c>
      <c r="E156" t="s">
        <v>146</v>
      </c>
      <c r="F156" t="s">
        <v>18</v>
      </c>
      <c r="G156" t="str">
        <f>+VLOOKUP(Tabla1[[#This Row],[Responsable]],Hoja2!$B$19:$C$36,2,FALSE)</f>
        <v>PRACTICANTE ME</v>
      </c>
      <c r="H156" s="3">
        <v>46182.583333333336</v>
      </c>
      <c r="I156" s="21">
        <v>46182.75</v>
      </c>
      <c r="J156" s="1">
        <v>4</v>
      </c>
    </row>
    <row r="157" spans="2:11">
      <c r="B157" t="s">
        <v>11</v>
      </c>
      <c r="C157" s="5" t="s">
        <v>12</v>
      </c>
      <c r="D157" t="s">
        <v>145</v>
      </c>
      <c r="E157" t="s">
        <v>146</v>
      </c>
      <c r="F157" t="s">
        <v>18</v>
      </c>
      <c r="G157" t="str">
        <f>+VLOOKUP(Tabla1[[#This Row],[Responsable]],Hoja2!$B$19:$C$36,2,FALSE)</f>
        <v>PRACTICANTE ME</v>
      </c>
      <c r="H157" s="3">
        <v>46183.3125</v>
      </c>
      <c r="I157" s="21">
        <v>46183.541666666664</v>
      </c>
      <c r="J157" s="1">
        <f>+(Tabla1[[#This Row],[Fecha y hora de Fin]]-Tabla1[[#This Row],[Fecha y hora de incio]])*24</f>
        <v>5.4999999999417923</v>
      </c>
      <c r="K157" t="s">
        <v>184</v>
      </c>
    </row>
    <row r="158" spans="2:11" ht="15">
      <c r="B158" t="s">
        <v>62</v>
      </c>
      <c r="C158" s="5" t="s">
        <v>12</v>
      </c>
      <c r="D158" t="s">
        <v>63</v>
      </c>
      <c r="E158" t="s">
        <v>64</v>
      </c>
      <c r="F158" t="s">
        <v>65</v>
      </c>
      <c r="G158" t="str">
        <f>+VLOOKUP(Tabla1[[#This Row],[Responsable]],Hoja2!$B$19:$C$36,2,FALSE)</f>
        <v>MODELADOR ME</v>
      </c>
      <c r="H158" s="23">
        <v>46183.486111111109</v>
      </c>
      <c r="I158" s="24">
        <v>46183.648611111108</v>
      </c>
      <c r="J158" s="1">
        <f>+(Tabla1[[#This Row],[Fecha y hora de Fin]]-Tabla1[[#This Row],[Fecha y hora de incio]])*24</f>
        <v>3.8999999999650754</v>
      </c>
      <c r="K158" t="s">
        <v>221</v>
      </c>
    </row>
    <row r="159" spans="2:11" ht="15">
      <c r="B159" t="s">
        <v>62</v>
      </c>
      <c r="C159" s="5" t="s">
        <v>12</v>
      </c>
      <c r="D159" t="s">
        <v>222</v>
      </c>
      <c r="E159" t="s">
        <v>223</v>
      </c>
      <c r="F159" t="s">
        <v>65</v>
      </c>
      <c r="G159" t="str">
        <f>+VLOOKUP(Tabla1[[#This Row],[Responsable]],Hoja2!$B$19:$C$36,2,FALSE)</f>
        <v>MODELADOR ME</v>
      </c>
      <c r="H159" s="23">
        <v>46183.3125</v>
      </c>
      <c r="I159" s="24">
        <v>46183.401388888888</v>
      </c>
      <c r="J159" s="1">
        <f>+(Tabla1[[#This Row],[Fecha y hora de Fin]]-Tabla1[[#This Row],[Fecha y hora de incio]])*24</f>
        <v>2.1333333333022892</v>
      </c>
      <c r="K159" t="s">
        <v>184</v>
      </c>
    </row>
    <row r="160" spans="2:11" ht="15">
      <c r="B160" t="s">
        <v>62</v>
      </c>
      <c r="C160" s="5" t="s">
        <v>12</v>
      </c>
      <c r="D160" t="s">
        <v>224</v>
      </c>
      <c r="E160" t="s">
        <v>225</v>
      </c>
      <c r="F160" t="s">
        <v>65</v>
      </c>
      <c r="G160" t="str">
        <f>+VLOOKUP(Tabla1[[#This Row],[Responsable]],Hoja2!$B$19:$C$36,2,FALSE)</f>
        <v>MODELADOR ME</v>
      </c>
      <c r="H160" s="23">
        <v>46183.401388888888</v>
      </c>
      <c r="I160" s="24">
        <v>46183.770833333336</v>
      </c>
      <c r="J160" s="1">
        <f>+(Tabla1[[#This Row],[Fecha y hora de Fin]]-Tabla1[[#This Row],[Fecha y hora de incio]])*24</f>
        <v>8.8666666667559184</v>
      </c>
      <c r="K160" t="s">
        <v>75</v>
      </c>
    </row>
    <row r="161" spans="2:11">
      <c r="B161" t="s">
        <v>147</v>
      </c>
      <c r="C161" s="5" t="s">
        <v>12</v>
      </c>
      <c r="D161" t="s">
        <v>147</v>
      </c>
      <c r="E161" t="s">
        <v>46</v>
      </c>
      <c r="F161" t="s">
        <v>102</v>
      </c>
      <c r="H161" s="21">
        <v>46182.3125</v>
      </c>
      <c r="I161" s="21">
        <v>46182.75</v>
      </c>
      <c r="J161" s="1">
        <v>10.5</v>
      </c>
    </row>
    <row r="162" spans="2:11">
      <c r="B162" t="s">
        <v>147</v>
      </c>
      <c r="C162" s="5" t="s">
        <v>12</v>
      </c>
      <c r="D162" t="s">
        <v>147</v>
      </c>
      <c r="E162" t="s">
        <v>46</v>
      </c>
      <c r="F162" t="s">
        <v>102</v>
      </c>
      <c r="G162" t="str">
        <f>+VLOOKUP(Tabla1[[#This Row],[Responsable]],Hoja2!$B$19:$C$36,2,FALSE)</f>
        <v>MODELADOR OC</v>
      </c>
      <c r="H162" s="22">
        <v>46183.3125</v>
      </c>
      <c r="I162" s="3">
        <v>46183.75</v>
      </c>
      <c r="J162" s="1">
        <f>+(Tabla1[[#This Row],[Fecha y hora de Fin]]-Tabla1[[#This Row],[Fecha y hora de incio]])*24</f>
        <v>10.5</v>
      </c>
    </row>
    <row r="163" spans="2:11">
      <c r="B163" t="s">
        <v>226</v>
      </c>
      <c r="C163" s="5" t="s">
        <v>12</v>
      </c>
      <c r="D163" t="s">
        <v>226</v>
      </c>
      <c r="E163" t="s">
        <v>227</v>
      </c>
      <c r="F163" t="s">
        <v>98</v>
      </c>
      <c r="G163" t="str">
        <f>+VLOOKUP(Tabla1[[#This Row],[Responsable]],Hoja2!$B$19:$C$36,2,FALSE)</f>
        <v>MODELADOR OC</v>
      </c>
      <c r="H163" s="22">
        <v>46183.3125</v>
      </c>
      <c r="I163" s="3">
        <v>46183.75</v>
      </c>
      <c r="J163" s="1">
        <f>+(Tabla1[[#This Row],[Fecha y hora de Fin]]-Tabla1[[#This Row],[Fecha y hora de incio]])*24</f>
        <v>10.5</v>
      </c>
    </row>
    <row r="164" spans="2:11">
      <c r="B164" t="s">
        <v>228</v>
      </c>
      <c r="C164" s="5" t="s">
        <v>12</v>
      </c>
      <c r="F164" t="s">
        <v>35</v>
      </c>
      <c r="G164" t="str">
        <f>+VLOOKUP(Tabla1[[#This Row],[Responsable]],Hoja2!$B$19:$C$36,2,FALSE)</f>
        <v>MODELADOR OC</v>
      </c>
      <c r="H164" s="3">
        <v>46182.3125</v>
      </c>
      <c r="I164" s="21">
        <v>46183.75</v>
      </c>
      <c r="J164" s="1">
        <f>+(Tabla1[[#This Row],[Fecha y hora de Fin]]-Tabla1[[#This Row],[Fecha y hora de incio]])*24</f>
        <v>34.5</v>
      </c>
      <c r="K164" t="s">
        <v>229</v>
      </c>
    </row>
    <row r="165" spans="2:11">
      <c r="B165" t="s">
        <v>49</v>
      </c>
      <c r="C165" s="5" t="s">
        <v>12</v>
      </c>
      <c r="D165" t="s">
        <v>49</v>
      </c>
      <c r="E165" t="s">
        <v>230</v>
      </c>
      <c r="F165" t="s">
        <v>13</v>
      </c>
      <c r="G165" t="str">
        <f>+VLOOKUP(Tabla1[[#This Row],[Responsable]],Hoja2!$B$19:$C$36,2,FALSE)</f>
        <v>PRACTICANTE ME</v>
      </c>
      <c r="H165" s="21"/>
      <c r="I165" s="3"/>
      <c r="J165" s="1">
        <f>+(Tabla1[[#This Row],[Fecha y hora de Fin]]-Tabla1[[#This Row],[Fecha y hora de incio]])*24</f>
        <v>0</v>
      </c>
    </row>
    <row r="166" spans="2:11">
      <c r="B166" t="s">
        <v>49</v>
      </c>
      <c r="C166" s="5" t="s">
        <v>12</v>
      </c>
      <c r="D166" t="s">
        <v>49</v>
      </c>
      <c r="G166" t="e">
        <f>+VLOOKUP(Tabla1[[#This Row],[Responsable]],Hoja2!$B$19:$C$36,2,FALSE)</f>
        <v>#N/A</v>
      </c>
      <c r="H166" s="3"/>
      <c r="I166" s="3"/>
      <c r="J166" s="1">
        <f>+(Tabla1[[#This Row],[Fecha y hora de Fin]]-Tabla1[[#This Row],[Fecha y hora de incio]])*24</f>
        <v>0</v>
      </c>
    </row>
    <row r="167" spans="2:11">
      <c r="B167" t="s">
        <v>49</v>
      </c>
      <c r="C167" s="5" t="s">
        <v>12</v>
      </c>
      <c r="D167" t="s">
        <v>49</v>
      </c>
      <c r="E167" t="s">
        <v>231</v>
      </c>
      <c r="F167" t="s">
        <v>18</v>
      </c>
      <c r="G167" t="str">
        <f>+VLOOKUP(Tabla1[[#This Row],[Responsable]],Hoja2!$B$19:$C$36,2,FALSE)</f>
        <v>PRACTICANTE ME</v>
      </c>
      <c r="H167" s="3">
        <v>46183.583333333336</v>
      </c>
      <c r="I167" s="3">
        <v>46183.674305555556</v>
      </c>
      <c r="J167" s="1">
        <f>+(Tabla1[[#This Row],[Fecha y hora de Fin]]-Tabla1[[#This Row],[Fecha y hora de incio]])*24</f>
        <v>2.1833333332906477</v>
      </c>
    </row>
    <row r="168" spans="2:11">
      <c r="B168" t="s">
        <v>130</v>
      </c>
      <c r="C168" s="5" t="s">
        <v>12</v>
      </c>
      <c r="D168" t="s">
        <v>130</v>
      </c>
      <c r="E168" t="s">
        <v>232</v>
      </c>
      <c r="F168" t="s">
        <v>45</v>
      </c>
      <c r="G168" t="str">
        <f>+VLOOKUP(Tabla1[[#This Row],[Responsable]],Hoja2!$B$19:$C$36,2,FALSE)</f>
        <v>MODELADOR OC</v>
      </c>
      <c r="H168" s="3">
        <v>46183.3125</v>
      </c>
      <c r="I168" s="3">
        <v>46183.75</v>
      </c>
      <c r="J168" s="1">
        <f>+(Tabla1[[#This Row],[Fecha y hora de Fin]]-Tabla1[[#This Row],[Fecha y hora de incio]])*24</f>
        <v>10.5</v>
      </c>
    </row>
    <row r="169" spans="2:11">
      <c r="B169" t="s">
        <v>11</v>
      </c>
      <c r="C169" s="5" t="s">
        <v>12</v>
      </c>
      <c r="D169" t="s">
        <v>89</v>
      </c>
      <c r="E169" t="s">
        <v>22</v>
      </c>
      <c r="F169" t="s">
        <v>26</v>
      </c>
      <c r="G169" t="str">
        <f>+VLOOKUP(Tabla1[[#This Row],[Responsable]],Hoja2!$B$19:$C$36,2,FALSE)</f>
        <v>MODELADOR OC</v>
      </c>
      <c r="H169" s="3">
        <v>46178.3125</v>
      </c>
      <c r="I169" s="3">
        <v>46178.550694444442</v>
      </c>
      <c r="J169" s="1">
        <f>+(Tabla1[[#This Row],[Fecha y hora de Fin]]-Tabla1[[#This Row],[Fecha y hora de incio]])*24</f>
        <v>5.71666666661622</v>
      </c>
      <c r="K169" t="s">
        <v>19</v>
      </c>
    </row>
    <row r="170" spans="2:11">
      <c r="B170" t="s">
        <v>11</v>
      </c>
      <c r="C170" s="5" t="s">
        <v>12</v>
      </c>
      <c r="D170" t="s">
        <v>89</v>
      </c>
      <c r="E170" t="s">
        <v>22</v>
      </c>
      <c r="F170" t="s">
        <v>26</v>
      </c>
      <c r="G170" t="str">
        <f>+VLOOKUP(Tabla1[[#This Row],[Responsable]],Hoja2!$B$19:$C$36,2,FALSE)</f>
        <v>MODELADOR OC</v>
      </c>
      <c r="H170" s="3">
        <v>46182.3125</v>
      </c>
      <c r="I170" s="3">
        <v>46182.75</v>
      </c>
      <c r="J170" s="1">
        <f>+(Tabla1[[#This Row],[Fecha y hora de Fin]]-Tabla1[[#This Row],[Fecha y hora de incio]])*24</f>
        <v>10.5</v>
      </c>
      <c r="K170" t="s">
        <v>19</v>
      </c>
    </row>
    <row r="171" spans="2:11" ht="15">
      <c r="B171" t="s">
        <v>207</v>
      </c>
      <c r="C171" s="5" t="s">
        <v>12</v>
      </c>
      <c r="D171" t="s">
        <v>207</v>
      </c>
      <c r="E171" t="s">
        <v>233</v>
      </c>
      <c r="F171" t="s">
        <v>98</v>
      </c>
      <c r="G171" t="str">
        <f>+VLOOKUP(Tabla1[[#This Row],[Responsable]],Hoja2!$B$19:$C$36,2,FALSE)</f>
        <v>MODELADOR OC</v>
      </c>
      <c r="H171" s="3">
        <v>46182.3125</v>
      </c>
      <c r="I171" s="3">
        <v>46182.75</v>
      </c>
      <c r="J171" s="1">
        <f>+(Tabla1[[#This Row],[Fecha y hora de Fin]]-Tabla1[[#This Row],[Fecha y hora de incio]])*24</f>
        <v>10.5</v>
      </c>
      <c r="K171" t="s">
        <v>19</v>
      </c>
    </row>
    <row r="172" spans="2:11" ht="15">
      <c r="B172" t="s">
        <v>226</v>
      </c>
      <c r="C172" s="5" t="s">
        <v>234</v>
      </c>
      <c r="D172" t="s">
        <v>226</v>
      </c>
      <c r="E172" t="s">
        <v>235</v>
      </c>
      <c r="F172" t="s">
        <v>98</v>
      </c>
      <c r="G172" t="str">
        <f>+VLOOKUP(Tabla1[[#This Row],[Responsable]],Hoja2!$B$19:$C$36,2,FALSE)</f>
        <v>MODELADOR OC</v>
      </c>
      <c r="H172" s="3">
        <v>46183.3125</v>
      </c>
      <c r="I172" s="3">
        <v>46183.75</v>
      </c>
      <c r="J172" s="1">
        <f>+(Tabla1[[#This Row],[Fecha y hora de Fin]]-Tabla1[[#This Row],[Fecha y hora de incio]])*24</f>
        <v>10.5</v>
      </c>
      <c r="K172" t="s">
        <v>236</v>
      </c>
    </row>
    <row r="173" spans="2:11">
      <c r="B173" t="s">
        <v>11</v>
      </c>
      <c r="C173" s="5" t="s">
        <v>12</v>
      </c>
      <c r="D173" t="s">
        <v>89</v>
      </c>
      <c r="E173" t="s">
        <v>22</v>
      </c>
      <c r="F173" t="s">
        <v>26</v>
      </c>
      <c r="G173" t="str">
        <f>+VLOOKUP(Tabla1[[#This Row],[Responsable]],Hoja2!$B$19:$C$36,2,FALSE)</f>
        <v>MODELADOR OC</v>
      </c>
      <c r="H173" s="3">
        <v>46183.3125</v>
      </c>
      <c r="I173" s="3">
        <v>46183.75</v>
      </c>
      <c r="J173" s="1">
        <f>+(Tabla1[[#This Row],[Fecha y hora de Fin]]-Tabla1[[#This Row],[Fecha y hora de incio]])*24</f>
        <v>10.5</v>
      </c>
      <c r="K173" t="s">
        <v>237</v>
      </c>
    </row>
    <row r="174" spans="2:11">
      <c r="B174" t="s">
        <v>226</v>
      </c>
      <c r="C174" s="5" t="s">
        <v>234</v>
      </c>
      <c r="D174" t="s">
        <v>226</v>
      </c>
      <c r="E174" t="s">
        <v>235</v>
      </c>
      <c r="F174" t="s">
        <v>98</v>
      </c>
      <c r="G174" t="str">
        <f>+VLOOKUP(Tabla1[[#This Row],[Responsable]],Hoja2!$B$19:$C$36,2,FALSE)</f>
        <v>MODELADOR OC</v>
      </c>
      <c r="H174" s="3">
        <v>46184.3125</v>
      </c>
      <c r="I174" s="3">
        <v>46184.75</v>
      </c>
      <c r="J174" s="1">
        <f>+(Tabla1[[#This Row],[Fecha y hora de Fin]]-Tabla1[[#This Row],[Fecha y hora de incio]])*24</f>
        <v>10.5</v>
      </c>
      <c r="K174" t="s">
        <v>236</v>
      </c>
    </row>
    <row r="175" spans="2:11">
      <c r="B175" t="s">
        <v>147</v>
      </c>
      <c r="C175" s="5" t="s">
        <v>12</v>
      </c>
      <c r="F175" t="s">
        <v>35</v>
      </c>
      <c r="G175" t="str">
        <f>+VLOOKUP(Tabla1[[#This Row],[Responsable]],Hoja2!$B$19:$C$36,2,FALSE)</f>
        <v>MODELADOR OC</v>
      </c>
      <c r="H175" s="3">
        <v>46184.3125</v>
      </c>
      <c r="I175" s="3">
        <v>46185.5625</v>
      </c>
      <c r="J175" s="1">
        <f>+(Tabla1[[#This Row],[Fecha y hora de Fin]]-Tabla1[[#This Row],[Fecha y hora de incio]])*24</f>
        <v>30</v>
      </c>
      <c r="K175" t="s">
        <v>184</v>
      </c>
    </row>
    <row r="176" spans="2:11">
      <c r="B176" t="s">
        <v>11</v>
      </c>
      <c r="C176" s="5" t="s">
        <v>12</v>
      </c>
      <c r="D176" t="s">
        <v>153</v>
      </c>
      <c r="E176" t="s">
        <v>238</v>
      </c>
      <c r="F176" t="s">
        <v>18</v>
      </c>
      <c r="G176" t="str">
        <f>+VLOOKUP(Tabla1[[#This Row],[Responsable]],Hoja2!$B$19:$C$36,2,FALSE)</f>
        <v>PRACTICANTE ME</v>
      </c>
      <c r="H176" s="3">
        <v>46184.3125</v>
      </c>
      <c r="I176" s="3">
        <v>46184.363194444442</v>
      </c>
      <c r="J176" s="1">
        <f>+(Tabla1[[#This Row],[Fecha y hora de Fin]]-Tabla1[[#This Row],[Fecha y hora de incio]])*24</f>
        <v>1.21666666661622</v>
      </c>
      <c r="K176" t="s">
        <v>19</v>
      </c>
    </row>
    <row r="177" spans="2:11">
      <c r="B177" t="s">
        <v>11</v>
      </c>
      <c r="C177" s="5" t="s">
        <v>12</v>
      </c>
      <c r="H177" s="3"/>
      <c r="I177" s="3"/>
      <c r="J177" s="1">
        <f>+(Tabla1[[#This Row],[Fecha y hora de Fin]]-Tabla1[[#This Row],[Fecha y hora de incio]])*24</f>
        <v>0</v>
      </c>
    </row>
    <row r="178" spans="2:11">
      <c r="B178" t="s">
        <v>62</v>
      </c>
      <c r="C178" s="5" t="s">
        <v>12</v>
      </c>
      <c r="D178" t="s">
        <v>63</v>
      </c>
      <c r="E178" t="s">
        <v>64</v>
      </c>
      <c r="F178" t="s">
        <v>65</v>
      </c>
      <c r="G178" t="str">
        <f>+VLOOKUP(Tabla1[[#This Row],[Responsable]],Hoja2!$B$19:$C$36,2,FALSE)</f>
        <v>MODELADOR ME</v>
      </c>
      <c r="H178" s="23">
        <v>46184.3125</v>
      </c>
      <c r="I178" s="23">
        <v>46184.770833333336</v>
      </c>
      <c r="J178" s="1">
        <f>+(Tabla1[[#This Row],[Fecha y hora de Fin]]-Tabla1[[#This Row],[Fecha y hora de incio]])*24</f>
        <v>11.000000000058208</v>
      </c>
      <c r="K178" t="s">
        <v>239</v>
      </c>
    </row>
    <row r="179" spans="2:11">
      <c r="B179" t="s">
        <v>62</v>
      </c>
      <c r="C179" s="5" t="s">
        <v>12</v>
      </c>
      <c r="D179" t="s">
        <v>203</v>
      </c>
      <c r="E179" t="s">
        <v>204</v>
      </c>
      <c r="F179" t="s">
        <v>65</v>
      </c>
      <c r="G179" t="str">
        <f>+VLOOKUP(Tabla1[[#This Row],[Responsable]],Hoja2!$B$19:$C$36,2,FALSE)</f>
        <v>MODELADOR ME</v>
      </c>
      <c r="H179" s="23">
        <v>46184.541666666664</v>
      </c>
      <c r="I179" s="23">
        <v>46184.868055555555</v>
      </c>
      <c r="J179" s="1">
        <f>+(Tabla1[[#This Row],[Fecha y hora de Fin]]-Tabla1[[#This Row],[Fecha y hora de incio]])*24</f>
        <v>7.8333333333721384</v>
      </c>
      <c r="K179" t="s">
        <v>240</v>
      </c>
    </row>
    <row r="180" spans="2:11">
      <c r="B180" t="s">
        <v>147</v>
      </c>
      <c r="C180" s="5" t="s">
        <v>12</v>
      </c>
      <c r="D180" t="s">
        <v>147</v>
      </c>
      <c r="E180" t="s">
        <v>46</v>
      </c>
      <c r="F180" t="s">
        <v>102</v>
      </c>
      <c r="G180" t="str">
        <f>+VLOOKUP(Tabla1[[#This Row],[Responsable]],Hoja2!$B$19:$C$36,2,FALSE)</f>
        <v>MODELADOR OC</v>
      </c>
      <c r="H180" s="3">
        <v>46185.3125</v>
      </c>
      <c r="I180" s="3">
        <v>46185.5625</v>
      </c>
      <c r="J180" s="1">
        <f>+(Tabla1[[#This Row],[Fecha y hora de Fin]]-Tabla1[[#This Row],[Fecha y hora de incio]])*24</f>
        <v>6</v>
      </c>
    </row>
    <row r="181" spans="2:11" ht="15">
      <c r="B181" t="s">
        <v>49</v>
      </c>
      <c r="C181" s="5" t="s">
        <v>12</v>
      </c>
      <c r="D181" t="s">
        <v>188</v>
      </c>
      <c r="E181" t="s">
        <v>241</v>
      </c>
      <c r="F181" t="s">
        <v>45</v>
      </c>
      <c r="G181" t="str">
        <f>+VLOOKUP(Tabla1[[#This Row],[Responsable]],Hoja2!$B$19:$C$36,2,FALSE)</f>
        <v>MODELADOR OC</v>
      </c>
      <c r="H181" s="3">
        <v>46185.3125</v>
      </c>
      <c r="I181" s="3">
        <v>46185.5625</v>
      </c>
      <c r="J181" s="1">
        <f>+(Tabla1[[#This Row],[Fecha y hora de Fin]]-Tabla1[[#This Row],[Fecha y hora de incio]])*24</f>
        <v>6</v>
      </c>
      <c r="K181" t="s">
        <v>184</v>
      </c>
    </row>
    <row r="182" spans="2:11">
      <c r="B182" t="s">
        <v>62</v>
      </c>
      <c r="C182" s="5" t="s">
        <v>12</v>
      </c>
      <c r="D182" t="s">
        <v>62</v>
      </c>
      <c r="E182" t="s">
        <v>242</v>
      </c>
      <c r="F182" t="s">
        <v>98</v>
      </c>
      <c r="G182" t="str">
        <f>+VLOOKUP(Tabla1[[#This Row],[Responsable]],Hoja2!$B$19:$C$36,2,FALSE)</f>
        <v>MODELADOR OC</v>
      </c>
      <c r="H182" s="3">
        <v>46185.3125</v>
      </c>
      <c r="I182" s="3">
        <v>46185.75</v>
      </c>
      <c r="J182" s="1">
        <f>+(Tabla1[[#This Row],[Fecha y hora de Fin]]-Tabla1[[#This Row],[Fecha y hora de incio]])*24</f>
        <v>10.5</v>
      </c>
      <c r="K182" t="s">
        <v>184</v>
      </c>
    </row>
    <row r="183" spans="2:11">
      <c r="B183" t="s">
        <v>33</v>
      </c>
      <c r="C183" s="5" t="s">
        <v>12</v>
      </c>
      <c r="D183" t="s">
        <v>33</v>
      </c>
      <c r="E183" t="s">
        <v>243</v>
      </c>
      <c r="F183" t="s">
        <v>95</v>
      </c>
      <c r="G183" t="str">
        <f>+VLOOKUP(Tabla1[[#This Row],[Responsable]],Hoja2!$B$19:$C$36,2,FALSE)</f>
        <v>MODELADOR OC</v>
      </c>
      <c r="H183" s="3">
        <v>46170.3125</v>
      </c>
      <c r="I183" s="3">
        <v>46170.75</v>
      </c>
      <c r="J183" s="1">
        <f>+(Tabla1[[#This Row],[Fecha y hora de Fin]]-Tabla1[[#This Row],[Fecha y hora de incio]])*24</f>
        <v>10.5</v>
      </c>
      <c r="K183" t="s">
        <v>184</v>
      </c>
    </row>
    <row r="184" spans="2:11">
      <c r="B184" t="s">
        <v>33</v>
      </c>
      <c r="C184" s="5" t="s">
        <v>12</v>
      </c>
      <c r="D184" t="s">
        <v>33</v>
      </c>
      <c r="E184" t="s">
        <v>46</v>
      </c>
      <c r="F184" t="s">
        <v>95</v>
      </c>
      <c r="G184" t="str">
        <f>+VLOOKUP(Tabla1[[#This Row],[Responsable]],Hoja2!$B$19:$C$36,2,FALSE)</f>
        <v>MODELADOR OC</v>
      </c>
      <c r="H184" s="3">
        <v>46171.3125</v>
      </c>
      <c r="I184" s="3">
        <v>46171.75</v>
      </c>
      <c r="J184" s="1">
        <f>+(Tabla1[[#This Row],[Fecha y hora de Fin]]-Tabla1[[#This Row],[Fecha y hora de incio]])*24</f>
        <v>10.5</v>
      </c>
      <c r="K184" t="s">
        <v>184</v>
      </c>
    </row>
    <row r="185" spans="2:11">
      <c r="B185" t="s">
        <v>92</v>
      </c>
      <c r="C185" s="5" t="s">
        <v>12</v>
      </c>
      <c r="D185" t="s">
        <v>92</v>
      </c>
      <c r="E185" t="s">
        <v>243</v>
      </c>
      <c r="F185" t="s">
        <v>95</v>
      </c>
      <c r="G185" t="str">
        <f>+VLOOKUP(Tabla1[[#This Row],[Responsable]],Hoja2!$B$19:$C$36,2,FALSE)</f>
        <v>MODELADOR OC</v>
      </c>
      <c r="H185" s="3">
        <v>46174.3125</v>
      </c>
      <c r="I185" s="3">
        <v>46174.75</v>
      </c>
      <c r="J185" s="1">
        <f>+(Tabla1[[#This Row],[Fecha y hora de Fin]]-Tabla1[[#This Row],[Fecha y hora de incio]])*24</f>
        <v>10.5</v>
      </c>
      <c r="K185" t="s">
        <v>184</v>
      </c>
    </row>
    <row r="186" spans="2:11">
      <c r="B186" t="s">
        <v>92</v>
      </c>
      <c r="C186" s="5" t="s">
        <v>12</v>
      </c>
      <c r="D186" t="s">
        <v>92</v>
      </c>
      <c r="E186" t="s">
        <v>243</v>
      </c>
      <c r="F186" t="s">
        <v>95</v>
      </c>
      <c r="G186" t="str">
        <f>+VLOOKUP(Tabla1[[#This Row],[Responsable]],Hoja2!$B$19:$C$36,2,FALSE)</f>
        <v>MODELADOR OC</v>
      </c>
      <c r="H186" s="3">
        <v>46175.3125</v>
      </c>
      <c r="I186" s="3">
        <v>46175.75</v>
      </c>
      <c r="J186" s="1">
        <f>+(Tabla1[[#This Row],[Fecha y hora de Fin]]-Tabla1[[#This Row],[Fecha y hora de incio]])*24</f>
        <v>10.5</v>
      </c>
      <c r="K186" t="s">
        <v>184</v>
      </c>
    </row>
    <row r="187" spans="2:11">
      <c r="B187" t="s">
        <v>92</v>
      </c>
      <c r="C187" s="5" t="s">
        <v>12</v>
      </c>
      <c r="D187" t="s">
        <v>92</v>
      </c>
      <c r="E187" t="s">
        <v>46</v>
      </c>
      <c r="F187" t="s">
        <v>95</v>
      </c>
      <c r="G187" t="str">
        <f>+VLOOKUP(Tabla1[[#This Row],[Responsable]],Hoja2!$B$19:$C$36,2,FALSE)</f>
        <v>MODELADOR OC</v>
      </c>
      <c r="H187" s="3">
        <v>46176.3125</v>
      </c>
      <c r="I187" s="3">
        <v>46176.75</v>
      </c>
      <c r="J187" s="1">
        <f>+(Tabla1[[#This Row],[Fecha y hora de Fin]]-Tabla1[[#This Row],[Fecha y hora de incio]])*24</f>
        <v>10.5</v>
      </c>
      <c r="K187" t="s">
        <v>184</v>
      </c>
    </row>
    <row r="188" spans="2:11">
      <c r="B188" t="s">
        <v>92</v>
      </c>
      <c r="C188" s="5" t="s">
        <v>12</v>
      </c>
      <c r="D188" t="s">
        <v>92</v>
      </c>
      <c r="E188" t="s">
        <v>46</v>
      </c>
      <c r="F188" t="s">
        <v>95</v>
      </c>
      <c r="G188" t="str">
        <f>+VLOOKUP(Tabla1[[#This Row],[Responsable]],Hoja2!$B$19:$C$36,2,FALSE)</f>
        <v>MODELADOR OC</v>
      </c>
      <c r="H188" s="3">
        <v>46177.3125</v>
      </c>
      <c r="I188" s="3">
        <v>46177.75</v>
      </c>
      <c r="J188" s="1">
        <f>+(Tabla1[[#This Row],[Fecha y hora de Fin]]-Tabla1[[#This Row],[Fecha y hora de incio]])*24</f>
        <v>10.5</v>
      </c>
      <c r="K188" t="s">
        <v>184</v>
      </c>
    </row>
    <row r="189" spans="2:11">
      <c r="B189" t="s">
        <v>92</v>
      </c>
      <c r="C189" s="5" t="s">
        <v>12</v>
      </c>
      <c r="D189" t="s">
        <v>92</v>
      </c>
      <c r="E189" t="s">
        <v>46</v>
      </c>
      <c r="F189" t="s">
        <v>95</v>
      </c>
      <c r="G189" t="str">
        <f>+VLOOKUP(Tabla1[[#This Row],[Responsable]],Hoja2!$B$19:$C$36,2,FALSE)</f>
        <v>MODELADOR OC</v>
      </c>
      <c r="H189" s="3">
        <v>46178.3125</v>
      </c>
      <c r="I189" s="3">
        <v>46178.75</v>
      </c>
      <c r="J189" s="1">
        <f>+(Tabla1[[#This Row],[Fecha y hora de Fin]]-Tabla1[[#This Row],[Fecha y hora de incio]])*24</f>
        <v>10.5</v>
      </c>
      <c r="K189" t="s">
        <v>184</v>
      </c>
    </row>
    <row r="190" spans="2:11">
      <c r="B190" t="s">
        <v>228</v>
      </c>
      <c r="C190" s="5" t="s">
        <v>12</v>
      </c>
      <c r="D190" t="s">
        <v>228</v>
      </c>
      <c r="E190" t="s">
        <v>46</v>
      </c>
      <c r="F190" t="s">
        <v>95</v>
      </c>
      <c r="G190" t="str">
        <f>+VLOOKUP(Tabla1[[#This Row],[Responsable]],Hoja2!$B$19:$C$36,2,FALSE)</f>
        <v>MODELADOR OC</v>
      </c>
      <c r="H190" s="3">
        <v>46182.3125</v>
      </c>
      <c r="I190" s="3">
        <v>46182.75</v>
      </c>
      <c r="J190" s="1">
        <f>+(Tabla1[[#This Row],[Fecha y hora de Fin]]-Tabla1[[#This Row],[Fecha y hora de incio]])*24</f>
        <v>10.5</v>
      </c>
      <c r="K190" t="s">
        <v>184</v>
      </c>
    </row>
    <row r="191" spans="2:11">
      <c r="B191" t="s">
        <v>228</v>
      </c>
      <c r="C191" s="5" t="s">
        <v>12</v>
      </c>
      <c r="D191" t="s">
        <v>228</v>
      </c>
      <c r="E191" t="s">
        <v>46</v>
      </c>
      <c r="F191" t="s">
        <v>95</v>
      </c>
      <c r="G191" t="str">
        <f>+VLOOKUP(Tabla1[[#This Row],[Responsable]],Hoja2!$B$19:$C$36,2,FALSE)</f>
        <v>MODELADOR OC</v>
      </c>
      <c r="H191" s="3">
        <v>46183.3125</v>
      </c>
      <c r="I191" s="3">
        <v>46183.75</v>
      </c>
      <c r="J191" s="1">
        <f>+(Tabla1[[#This Row],[Fecha y hora de Fin]]-Tabla1[[#This Row],[Fecha y hora de incio]])*24</f>
        <v>10.5</v>
      </c>
      <c r="K191" t="s">
        <v>184</v>
      </c>
    </row>
    <row r="192" spans="2:11">
      <c r="B192" t="s">
        <v>228</v>
      </c>
      <c r="C192" s="5" t="s">
        <v>12</v>
      </c>
      <c r="D192" t="s">
        <v>228</v>
      </c>
      <c r="E192" t="s">
        <v>46</v>
      </c>
      <c r="F192" t="s">
        <v>95</v>
      </c>
      <c r="G192" t="str">
        <f>+VLOOKUP(Tabla1[[#This Row],[Responsable]],Hoja2!$B$19:$C$36,2,FALSE)</f>
        <v>MODELADOR OC</v>
      </c>
      <c r="H192" s="3">
        <v>46184.3125</v>
      </c>
      <c r="I192" s="3">
        <v>46184.75</v>
      </c>
      <c r="J192" s="1">
        <f>+(Tabla1[[#This Row],[Fecha y hora de Fin]]-Tabla1[[#This Row],[Fecha y hora de incio]])*24</f>
        <v>10.5</v>
      </c>
      <c r="K192" t="s">
        <v>184</v>
      </c>
    </row>
    <row r="193" spans="2:11">
      <c r="B193" t="s">
        <v>228</v>
      </c>
      <c r="C193" s="5" t="s">
        <v>12</v>
      </c>
      <c r="D193" t="s">
        <v>228</v>
      </c>
      <c r="E193" t="s">
        <v>46</v>
      </c>
      <c r="F193" t="s">
        <v>95</v>
      </c>
      <c r="G193" t="str">
        <f>+VLOOKUP(Tabla1[[#This Row],[Responsable]],Hoja2!$B$19:$C$36,2,FALSE)</f>
        <v>MODELADOR OC</v>
      </c>
      <c r="H193" s="3">
        <v>46185.3125</v>
      </c>
      <c r="I193" s="3">
        <v>46185.75</v>
      </c>
      <c r="J193" s="1">
        <f>+(Tabla1[[#This Row],[Fecha y hora de Fin]]-Tabla1[[#This Row],[Fecha y hora de incio]])*24</f>
        <v>10.5</v>
      </c>
      <c r="K193" t="s">
        <v>184</v>
      </c>
    </row>
    <row r="194" spans="2:11">
      <c r="C194" s="5" t="s">
        <v>12</v>
      </c>
      <c r="G194" t="e">
        <f>+VLOOKUP(Tabla1[[#This Row],[Responsable]],Hoja2!$B$19:$C$36,2,FALSE)</f>
        <v>#N/A</v>
      </c>
      <c r="H194" s="3"/>
      <c r="I194" s="3"/>
      <c r="J194" s="1">
        <f>+(Tabla1[[#This Row],[Fecha y hora de Fin]]-Tabla1[[#This Row],[Fecha y hora de incio]])*24</f>
        <v>0</v>
      </c>
    </row>
    <row r="195" spans="2:11">
      <c r="C195" s="5" t="s">
        <v>12</v>
      </c>
      <c r="G195" t="e">
        <f>+VLOOKUP(Tabla1[[#This Row],[Responsable]],Hoja2!$B$19:$C$36,2,FALSE)</f>
        <v>#N/A</v>
      </c>
      <c r="H195" s="3"/>
      <c r="I195" s="3"/>
      <c r="J195" s="1">
        <f>+(Tabla1[[#This Row],[Fecha y hora de Fin]]-Tabla1[[#This Row],[Fecha y hora de incio]])*24</f>
        <v>0</v>
      </c>
    </row>
    <row r="196" spans="2:11">
      <c r="C196" s="5" t="s">
        <v>12</v>
      </c>
      <c r="G196" t="e">
        <f>+VLOOKUP(Tabla1[[#This Row],[Responsable]],Hoja2!$B$19:$C$36,2,FALSE)</f>
        <v>#N/A</v>
      </c>
      <c r="H196" s="3"/>
      <c r="I196" s="3"/>
      <c r="J196" s="1">
        <f>+(Tabla1[[#This Row],[Fecha y hora de Fin]]-Tabla1[[#This Row],[Fecha y hora de incio]])*24</f>
        <v>0</v>
      </c>
    </row>
    <row r="197" spans="2:11">
      <c r="C197" s="5" t="s">
        <v>12</v>
      </c>
      <c r="G197" t="e">
        <f>+VLOOKUP(Tabla1[[#This Row],[Responsable]],Hoja2!$B$19:$C$36,2,FALSE)</f>
        <v>#N/A</v>
      </c>
      <c r="H197" s="3"/>
      <c r="I197" s="3"/>
      <c r="J197" s="1">
        <f>+(Tabla1[[#This Row],[Fecha y hora de Fin]]-Tabla1[[#This Row],[Fecha y hora de incio]])*24</f>
        <v>0</v>
      </c>
    </row>
    <row r="198" spans="2:11">
      <c r="C198" s="5" t="s">
        <v>12</v>
      </c>
      <c r="G198" t="e">
        <f>+VLOOKUP(Tabla1[[#This Row],[Responsable]],Hoja2!$B$19:$C$36,2,FALSE)</f>
        <v>#N/A</v>
      </c>
      <c r="H198" s="3"/>
      <c r="I198" s="3"/>
      <c r="J198" s="1">
        <f>+(Tabla1[[#This Row],[Fecha y hora de Fin]]-Tabla1[[#This Row],[Fecha y hora de incio]])*24</f>
        <v>0</v>
      </c>
    </row>
    <row r="199" spans="2:11" ht="15">
      <c r="C199" s="5" t="s">
        <v>12</v>
      </c>
      <c r="G199" t="e">
        <f>+VLOOKUP(Tabla1[[#This Row],[Responsable]],Hoja2!$B$19:$C$36,2,FALSE)</f>
        <v>#N/A</v>
      </c>
      <c r="H199" s="3"/>
      <c r="I199" s="3"/>
      <c r="J199" s="1">
        <f>+(Tabla1[[#This Row],[Fecha y hora de Fin]]-Tabla1[[#This Row],[Fecha y hora de incio]])*24</f>
        <v>0</v>
      </c>
    </row>
    <row r="200" spans="2:11" ht="15">
      <c r="C200" s="5" t="s">
        <v>12</v>
      </c>
      <c r="G200" t="e">
        <f>+VLOOKUP(Tabla1[[#This Row],[Responsable]],Hoja2!$B$19:$C$36,2,FALSE)</f>
        <v>#VALUE!</v>
      </c>
      <c r="H200" s="3"/>
      <c r="I200" s="3"/>
      <c r="J200" s="1" t="e">
        <f>+(Tabla1[[#This Row],[Fecha y hora de Fin]]-Tabla1[[#This Row],[Fecha y hora de incio]])*24</f>
        <v>#VALUE!</v>
      </c>
    </row>
    <row r="201" spans="2:11" ht="15">
      <c r="C201" s="5" t="s">
        <v>12</v>
      </c>
      <c r="G201" t="e">
        <f>+VLOOKUP(Tabla1[[#This Row],[Responsable]],Hoja2!$B$19:$C$36,2,FALSE)</f>
        <v>#VALUE!</v>
      </c>
      <c r="H201" s="3"/>
      <c r="I201" s="3"/>
      <c r="J201" s="1" t="e">
        <f>+(Tabla1[[#This Row],[Fecha y hora de Fin]]-Tabla1[[#This Row],[Fecha y hora de incio]])*24</f>
        <v>#VALUE!</v>
      </c>
    </row>
    <row r="202" spans="2:11" ht="15">
      <c r="C202" s="5" t="s">
        <v>12</v>
      </c>
      <c r="G202" t="e">
        <f>+VLOOKUP(Tabla1[[#This Row],[Responsable]],Hoja2!$B$19:$C$36,2,FALSE)</f>
        <v>#VALUE!</v>
      </c>
      <c r="H202" s="3"/>
      <c r="I202" s="3"/>
      <c r="J202" s="1" t="e">
        <f>+(Tabla1[[#This Row],[Fecha y hora de Fin]]-Tabla1[[#This Row],[Fecha y hora de incio]])*24</f>
        <v>#VALUE!</v>
      </c>
    </row>
    <row r="203" spans="2:11" ht="15">
      <c r="C203" s="5" t="s">
        <v>12</v>
      </c>
      <c r="G203" t="e">
        <f>+VLOOKUP(Tabla1[[#This Row],[Responsable]],Hoja2!$B$19:$C$36,2,FALSE)</f>
        <v>#VALUE!</v>
      </c>
      <c r="H203" s="3"/>
      <c r="I203" s="3"/>
      <c r="J203" s="1" t="e">
        <f>+(Tabla1[[#This Row],[Fecha y hora de Fin]]-Tabla1[[#This Row],[Fecha y hora de incio]])*24</f>
        <v>#VALUE!</v>
      </c>
    </row>
    <row r="204" spans="2:11" ht="15">
      <c r="C204" s="5" t="s">
        <v>12</v>
      </c>
      <c r="G204" t="e">
        <f>+VLOOKUP(Tabla1[[#This Row],[Responsable]],Hoja2!$B$19:$C$36,2,FALSE)</f>
        <v>#VALUE!</v>
      </c>
      <c r="H204" s="3"/>
      <c r="I204" s="3"/>
      <c r="J204" s="1" t="e">
        <f>+(Tabla1[[#This Row],[Fecha y hora de Fin]]-Tabla1[[#This Row],[Fecha y hora de incio]])*24</f>
        <v>#VALUE!</v>
      </c>
    </row>
    <row r="205" spans="2:11" ht="15">
      <c r="C205" s="5" t="s">
        <v>12</v>
      </c>
      <c r="G205" t="e">
        <f>+VLOOKUP(Tabla1[[#This Row],[Responsable]],Hoja2!$B$19:$C$36,2,FALSE)</f>
        <v>#VALUE!</v>
      </c>
      <c r="H205" s="3"/>
      <c r="I205" s="3"/>
      <c r="J205" s="1" t="e">
        <f>+(Tabla1[[#This Row],[Fecha y hora de Fin]]-Tabla1[[#This Row],[Fecha y hora de incio]])*24</f>
        <v>#VALUE!</v>
      </c>
    </row>
    <row r="206" spans="2:11" ht="15">
      <c r="C206" s="5" t="s">
        <v>12</v>
      </c>
      <c r="G206" t="e">
        <f>+VLOOKUP(Tabla1[[#This Row],[Responsable]],Hoja2!$B$19:$C$36,2,FALSE)</f>
        <v>#VALUE!</v>
      </c>
      <c r="H206" s="3"/>
      <c r="I206" s="3"/>
      <c r="J206" s="1" t="e">
        <f>+(Tabla1[[#This Row],[Fecha y hora de Fin]]-Tabla1[[#This Row],[Fecha y hora de incio]])*24</f>
        <v>#VALUE!</v>
      </c>
    </row>
    <row r="207" spans="2:11" ht="15">
      <c r="C207" s="5" t="s">
        <v>12</v>
      </c>
      <c r="G207" t="e">
        <f>+VLOOKUP(Tabla1[[#This Row],[Responsable]],Hoja2!$B$19:$C$36,2,FALSE)</f>
        <v>#VALUE!</v>
      </c>
      <c r="H207" s="3"/>
      <c r="I207" s="3"/>
      <c r="J207" s="1" t="e">
        <f>+(Tabla1[[#This Row],[Fecha y hora de Fin]]-Tabla1[[#This Row],[Fecha y hora de incio]])*24</f>
        <v>#VALUE!</v>
      </c>
    </row>
    <row r="208" spans="2:11" ht="15">
      <c r="C208" s="5" t="s">
        <v>12</v>
      </c>
      <c r="G208" t="e">
        <f>+VLOOKUP(Tabla1[[#This Row],[Responsable]],Hoja2!$B$19:$C$36,2,FALSE)</f>
        <v>#VALUE!</v>
      </c>
      <c r="H208" s="3"/>
      <c r="I208" s="3"/>
      <c r="J208" s="1" t="e">
        <f>+(Tabla1[[#This Row],[Fecha y hora de Fin]]-Tabla1[[#This Row],[Fecha y hora de incio]])*24</f>
        <v>#VALUE!</v>
      </c>
    </row>
    <row r="209" spans="3:10" ht="15">
      <c r="C209" s="5" t="s">
        <v>12</v>
      </c>
      <c r="G209" t="e">
        <f>+VLOOKUP(Tabla1[[#This Row],[Responsable]],Hoja2!$B$19:$C$36,2,FALSE)</f>
        <v>#VALUE!</v>
      </c>
      <c r="H209" s="3"/>
      <c r="I209" s="3"/>
      <c r="J209" s="1" t="e">
        <f>+(Tabla1[[#This Row],[Fecha y hora de Fin]]-Tabla1[[#This Row],[Fecha y hora de incio]])*24</f>
        <v>#VALUE!</v>
      </c>
    </row>
  </sheetData>
  <mergeCells count="1">
    <mergeCell ref="B2:K2"/>
  </mergeCells>
  <phoneticPr fontId="6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4668062B-16BF-46AC-BB60-DA243C49FE58}">
          <x14:formula1>
            <xm:f>Hoja2!$B$19:$B$36</xm:f>
          </x14:formula1>
          <xm:sqref>G125:G130 G147 G140 H165:H166 G156:G168 G171:G172 H194:H1048576 G174:G1048576 F4:F209</xm:sqref>
        </x14:dataValidation>
        <x14:dataValidation type="list" allowBlank="1" showInputMessage="1" showErrorMessage="1" xr:uid="{B3688A1C-B609-4000-972C-2FB5EE1C64BD}">
          <x14:formula1>
            <xm:f>Hoja2!$B$42:$B$63</xm:f>
          </x14:formula1>
          <xm:sqref>D125:D127 D140 D134:D138 D147 D161:D168 D171:D172 D174:D177 C210:C1048576 D180:D1048576 B4:B209</xm:sqref>
        </x14:dataValidation>
        <x14:dataValidation type="list" showDropDown="1" showInputMessage="1" showErrorMessage="1" xr:uid="{B10D790A-5ADA-49E2-AF03-665A09391F48}">
          <x14:formula1>
            <xm:f>Hoja2!$B$66</xm:f>
          </x14:formula1>
          <xm:sqref>C4:C118 C120:C209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700C-741E-456E-B3A6-2A02B6444A35}">
  <dimension ref="A3:C67"/>
  <sheetViews>
    <sheetView topLeftCell="A45" workbookViewId="0">
      <selection activeCell="B66" sqref="B66"/>
    </sheetView>
  </sheetViews>
  <sheetFormatPr defaultColWidth="11.42578125" defaultRowHeight="14.45"/>
  <cols>
    <col min="2" max="2" width="42.42578125" customWidth="1"/>
    <col min="3" max="3" width="22.85546875" customWidth="1"/>
  </cols>
  <sheetData>
    <row r="3" spans="2:2" ht="23.45">
      <c r="B3" s="4" t="s">
        <v>244</v>
      </c>
    </row>
    <row r="4" spans="2:2">
      <c r="B4" s="5" t="s">
        <v>245</v>
      </c>
    </row>
    <row r="5" spans="2:2">
      <c r="B5" s="5" t="s">
        <v>246</v>
      </c>
    </row>
    <row r="7" spans="2:2" ht="23.45">
      <c r="B7" s="4" t="s">
        <v>247</v>
      </c>
    </row>
    <row r="8" spans="2:2">
      <c r="B8" s="5" t="s">
        <v>248</v>
      </c>
    </row>
    <row r="9" spans="2:2">
      <c r="B9" s="5" t="s">
        <v>249</v>
      </c>
    </row>
    <row r="10" spans="2:2">
      <c r="B10" s="5" t="s">
        <v>250</v>
      </c>
    </row>
    <row r="11" spans="2:2">
      <c r="B11" s="5" t="s">
        <v>251</v>
      </c>
    </row>
    <row r="12" spans="2:2">
      <c r="B12" s="5" t="s">
        <v>252</v>
      </c>
    </row>
    <row r="13" spans="2:2">
      <c r="B13" s="5" t="s">
        <v>253</v>
      </c>
    </row>
    <row r="14" spans="2:2">
      <c r="B14" s="5" t="s">
        <v>210</v>
      </c>
    </row>
    <row r="15" spans="2:2">
      <c r="B15" s="5" t="s">
        <v>254</v>
      </c>
    </row>
    <row r="16" spans="2:2">
      <c r="B16" s="5" t="s">
        <v>255</v>
      </c>
    </row>
    <row r="18" spans="2:3" ht="23.45">
      <c r="B18" s="7" t="s">
        <v>256</v>
      </c>
      <c r="C18" s="8"/>
    </row>
    <row r="19" spans="2:3">
      <c r="B19" s="9" t="s">
        <v>26</v>
      </c>
      <c r="C19" s="10" t="s">
        <v>252</v>
      </c>
    </row>
    <row r="20" spans="2:3">
      <c r="B20" s="9" t="s">
        <v>52</v>
      </c>
      <c r="C20" s="10" t="s">
        <v>210</v>
      </c>
    </row>
    <row r="21" spans="2:3">
      <c r="B21" s="9" t="s">
        <v>39</v>
      </c>
      <c r="C21" s="10" t="s">
        <v>210</v>
      </c>
    </row>
    <row r="22" spans="2:3">
      <c r="B22" s="9" t="s">
        <v>13</v>
      </c>
      <c r="C22" s="10" t="s">
        <v>250</v>
      </c>
    </row>
    <row r="23" spans="2:3">
      <c r="B23" s="9" t="s">
        <v>18</v>
      </c>
      <c r="C23" s="10" t="s">
        <v>250</v>
      </c>
    </row>
    <row r="24" spans="2:3">
      <c r="B24" s="9" t="s">
        <v>98</v>
      </c>
      <c r="C24" s="10" t="s">
        <v>252</v>
      </c>
    </row>
    <row r="25" spans="2:3">
      <c r="B25" s="9" t="s">
        <v>65</v>
      </c>
      <c r="C25" s="10" t="s">
        <v>210</v>
      </c>
    </row>
    <row r="26" spans="2:3">
      <c r="B26" s="9" t="s">
        <v>95</v>
      </c>
      <c r="C26" s="10" t="s">
        <v>252</v>
      </c>
    </row>
    <row r="27" spans="2:3">
      <c r="B27" s="9" t="s">
        <v>82</v>
      </c>
      <c r="C27" s="10" t="s">
        <v>210</v>
      </c>
    </row>
    <row r="28" spans="2:3">
      <c r="B28" s="9" t="s">
        <v>102</v>
      </c>
      <c r="C28" s="10" t="s">
        <v>252</v>
      </c>
    </row>
    <row r="29" spans="2:3">
      <c r="B29" s="9" t="s">
        <v>45</v>
      </c>
      <c r="C29" s="10" t="s">
        <v>252</v>
      </c>
    </row>
    <row r="30" spans="2:3">
      <c r="B30" s="9" t="s">
        <v>57</v>
      </c>
      <c r="C30" s="10" t="s">
        <v>210</v>
      </c>
    </row>
    <row r="31" spans="2:3">
      <c r="B31" s="9" t="s">
        <v>35</v>
      </c>
      <c r="C31" s="10" t="s">
        <v>252</v>
      </c>
    </row>
    <row r="32" spans="2:3">
      <c r="B32" s="9" t="s">
        <v>31</v>
      </c>
      <c r="C32" s="10" t="s">
        <v>254</v>
      </c>
    </row>
    <row r="33" spans="2:3">
      <c r="B33" s="9" t="s">
        <v>15</v>
      </c>
      <c r="C33" s="10" t="s">
        <v>253</v>
      </c>
    </row>
    <row r="34" spans="2:3">
      <c r="B34" s="9" t="s">
        <v>257</v>
      </c>
      <c r="C34" s="10" t="s">
        <v>254</v>
      </c>
    </row>
    <row r="35" spans="2:3">
      <c r="B35" s="9" t="s">
        <v>258</v>
      </c>
      <c r="C35" s="10" t="s">
        <v>255</v>
      </c>
    </row>
    <row r="36" spans="2:3">
      <c r="B36" s="11" t="s">
        <v>23</v>
      </c>
      <c r="C36" s="12" t="s">
        <v>252</v>
      </c>
    </row>
    <row r="38" spans="2:3" ht="12.75" customHeight="1"/>
    <row r="41" spans="2:3">
      <c r="B41" s="13" t="s">
        <v>259</v>
      </c>
      <c r="C41" s="8"/>
    </row>
    <row r="42" spans="2:3">
      <c r="B42" s="9" t="s">
        <v>11</v>
      </c>
      <c r="C42" s="14"/>
    </row>
    <row r="43" spans="2:3">
      <c r="B43" s="9" t="s">
        <v>20</v>
      </c>
      <c r="C43" s="14"/>
    </row>
    <row r="44" spans="2:3">
      <c r="B44" s="9" t="s">
        <v>42</v>
      </c>
      <c r="C44" s="14"/>
    </row>
    <row r="45" spans="2:3">
      <c r="B45" s="9" t="s">
        <v>84</v>
      </c>
      <c r="C45" s="14"/>
    </row>
    <row r="46" spans="2:3">
      <c r="B46" s="9" t="s">
        <v>226</v>
      </c>
      <c r="C46" s="14"/>
    </row>
    <row r="47" spans="2:3">
      <c r="B47" s="9" t="s">
        <v>62</v>
      </c>
      <c r="C47" s="14"/>
    </row>
    <row r="48" spans="2:3">
      <c r="B48" s="9" t="s">
        <v>260</v>
      </c>
      <c r="C48" s="14"/>
    </row>
    <row r="49" spans="1:3">
      <c r="B49" s="9" t="s">
        <v>49</v>
      </c>
      <c r="C49" s="14"/>
    </row>
    <row r="50" spans="1:3">
      <c r="B50" s="9" t="s">
        <v>130</v>
      </c>
      <c r="C50" s="14"/>
    </row>
    <row r="51" spans="1:3">
      <c r="B51" s="9" t="s">
        <v>133</v>
      </c>
      <c r="C51" s="14"/>
    </row>
    <row r="52" spans="1:3">
      <c r="B52" s="9" t="s">
        <v>207</v>
      </c>
      <c r="C52" s="14"/>
    </row>
    <row r="53" spans="1:3">
      <c r="B53" s="9" t="s">
        <v>92</v>
      </c>
      <c r="C53" s="14"/>
    </row>
    <row r="54" spans="1:3">
      <c r="B54" s="9" t="s">
        <v>228</v>
      </c>
      <c r="C54" s="14"/>
    </row>
    <row r="55" spans="1:3">
      <c r="B55" s="9" t="s">
        <v>33</v>
      </c>
      <c r="C55" s="14"/>
    </row>
    <row r="56" spans="1:3">
      <c r="A56" t="s">
        <v>261</v>
      </c>
      <c r="B56" s="18"/>
      <c r="C56" s="14"/>
    </row>
    <row r="57" spans="1:3">
      <c r="B57" s="9" t="s">
        <v>262</v>
      </c>
      <c r="C57" s="14"/>
    </row>
    <row r="58" spans="1:3">
      <c r="A58" t="s">
        <v>263</v>
      </c>
      <c r="B58" s="9"/>
      <c r="C58" s="14"/>
    </row>
    <row r="59" spans="1:3">
      <c r="A59" t="s">
        <v>264</v>
      </c>
      <c r="B59" s="9"/>
      <c r="C59" s="14"/>
    </row>
    <row r="60" spans="1:3">
      <c r="B60" s="9" t="s">
        <v>121</v>
      </c>
      <c r="C60" s="14"/>
    </row>
    <row r="61" spans="1:3">
      <c r="B61" s="9" t="s">
        <v>78</v>
      </c>
      <c r="C61" s="14"/>
    </row>
    <row r="62" spans="1:3">
      <c r="B62" s="9" t="s">
        <v>147</v>
      </c>
      <c r="C62" s="14"/>
    </row>
    <row r="63" spans="1:3">
      <c r="B63" s="11" t="s">
        <v>265</v>
      </c>
      <c r="C63" s="15"/>
    </row>
    <row r="65" spans="2:3">
      <c r="B65" s="6" t="s">
        <v>266</v>
      </c>
    </row>
    <row r="66" spans="2:3">
      <c r="B66" s="16" t="s">
        <v>12</v>
      </c>
      <c r="C66" t="s">
        <v>267</v>
      </c>
    </row>
    <row r="67" spans="2:3">
      <c r="B67" s="16" t="s">
        <v>34</v>
      </c>
      <c r="C67" t="s">
        <v>268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77F1468560D842AE303D91845C4642" ma:contentTypeVersion="3" ma:contentTypeDescription="Crear nuevo documento." ma:contentTypeScope="" ma:versionID="5b74557ac471a4530164400106840fd0">
  <xsd:schema xmlns:xsd="http://www.w3.org/2001/XMLSchema" xmlns:xs="http://www.w3.org/2001/XMLSchema" xmlns:p="http://schemas.microsoft.com/office/2006/metadata/properties" xmlns:ns2="8a3a4ac3-17a2-4d3f-b591-b60af433b139" targetNamespace="http://schemas.microsoft.com/office/2006/metadata/properties" ma:root="true" ma:fieldsID="e4d866554a5a3b4e7b2446e59d80b9ab" ns2:_="">
    <xsd:import namespace="8a3a4ac3-17a2-4d3f-b591-b60af433b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a4ac3-17a2-4d3f-b591-b60af433b1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4F260E-C618-4407-9C46-13035F22F752}"/>
</file>

<file path=customXml/itemProps2.xml><?xml version="1.0" encoding="utf-8"?>
<ds:datastoreItem xmlns:ds="http://schemas.openxmlformats.org/officeDocument/2006/customXml" ds:itemID="{8D5E234B-DD04-44F9-A6B1-36966A056599}"/>
</file>

<file path=customXml/itemProps3.xml><?xml version="1.0" encoding="utf-8"?>
<ds:datastoreItem xmlns:ds="http://schemas.openxmlformats.org/officeDocument/2006/customXml" ds:itemID="{E6AAAC3F-E4AD-4A24-BEF4-4B19D9987E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EDUARDO  VEGA ARIZA</dc:creator>
  <cp:keywords/>
  <dc:description/>
  <cp:lastModifiedBy>ELKIN DAVID GUTIERREZ CAMPO</cp:lastModifiedBy>
  <cp:revision/>
  <dcterms:created xsi:type="dcterms:W3CDTF">2026-05-25T15:32:47Z</dcterms:created>
  <dcterms:modified xsi:type="dcterms:W3CDTF">2026-06-16T13:09:54Z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0x010100B177F1468560D842AE303D91845C4642</vt:lpwstr>
  </property>
</Properties>
</file>