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00000000-0000-0000-0000-000000000000}"/>
  <workbookPr/>
  <xr:revisionPtr revIDLastSave="57" documentId="11_80A4D5DBDD8D29A6A7972CBA5B1BB184DD268666" xr6:coauthVersionLast="47" xr6:coauthVersionMax="47" xr10:uidLastSave="{A66C5541-EE5C-41C7-BC58-9C1334821DA0}"/>
  <bookViews>
    <workbookView xWindow="0" yWindow="0" windowWidth="16384" windowHeight="8192" tabRatio="500" firstSheet="3" activeTab="3" xr2:uid="{00000000-000D-0000-FFFF-FFFF00000000}"/>
  </bookViews>
  <sheets>
    <sheet name="GUÍA" sheetId="1" r:id="rId1"/>
    <sheet name="Dashboard" sheetId="2" state="hidden" r:id="rId2"/>
    <sheet name="Avance Líneas" sheetId="3" r:id="rId3"/>
    <sheet name="Avance Subestaciones" sheetId="4" r:id="rId4"/>
    <sheet name="Semana Líneas Actual" sheetId="5" r:id="rId5"/>
    <sheet name="Semana Líneas Proyectada" sheetId="6" r:id="rId6"/>
    <sheet name="Semana Subestaciones" sheetId="7" r:id="rId7"/>
    <sheet name="Financiero" sheetId="8" r:id="rId8"/>
    <sheet name="Cronograma" sheetId="9" state="hidden" r:id="rId9"/>
    <sheet name="Plan_Curva" sheetId="10" r:id="rId10"/>
    <sheet name="Avance_Real" sheetId="11" r:id="rId11"/>
    <sheet name="Dim_Proyectos" sheetId="12" r:id="rId12"/>
    <sheet name="Dim_Colaboradores" sheetId="13" state="hidden" r:id="rId13"/>
    <sheet name="Proyectos Naturgy " sheetId="14" r:id="rId14"/>
    <sheet name="Hoja2" sheetId="15" state="hidden" r:id="rId15"/>
    <sheet name="Resumen" sheetId="16" r:id="rId16"/>
  </sheets>
  <definedNames>
    <definedName name="_xlnm._FilterDatabase" localSheetId="3" hidden="1">'Avance Subestaciones'!$A$1:$N$428</definedName>
    <definedName name="ComprobaciónFecha">#REF!*IF(#REF!="SEMANAS",7,IF(#REF!="DÍAS",1,30))</definedName>
    <definedName name="Lista_Colaboradores">OFFSET(Dim_Colaboradores!$B$3,0,0,COUNTA(Dim_Colaboradores!$B$3:$B$300),1)</definedName>
    <definedName name="Lista_Entregables_SE">OFFSET('Avance Subestaciones'!$E$3,0,0,COUNTA('Avance Subestaciones'!$E$3:$E$428),1)</definedName>
    <definedName name="Lista_Proyectos">OFFSET(Dim_Proyectos!$B$3,0,0,COUNTA(Dim_Proyectos!$B$3:$B$300),1)</definedName>
    <definedName name="ReglaCasilla">#REF!</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330" i="4" l="1"/>
  <c r="B331" i="4"/>
  <c r="B332" i="4"/>
  <c r="D18" i="12"/>
  <c r="C3" i="15"/>
  <c r="D3" i="15" s="1"/>
  <c r="A15" i="13"/>
  <c r="A14" i="13"/>
  <c r="A13" i="13"/>
  <c r="A12" i="13"/>
  <c r="A11" i="13"/>
  <c r="A10" i="13"/>
  <c r="A9" i="13"/>
  <c r="A8" i="13"/>
  <c r="A7" i="13"/>
  <c r="A6" i="13"/>
  <c r="A5" i="13"/>
  <c r="A4" i="13"/>
  <c r="A3" i="13"/>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7" i="12"/>
  <c r="D16" i="12"/>
  <c r="D15" i="12"/>
  <c r="D14" i="12"/>
  <c r="D13" i="12"/>
  <c r="D12" i="12"/>
  <c r="D11" i="12"/>
  <c r="D10" i="12"/>
  <c r="D9" i="12"/>
  <c r="D8" i="12"/>
  <c r="D7" i="12"/>
  <c r="D6" i="12"/>
  <c r="D5" i="12"/>
  <c r="D4" i="12"/>
  <c r="D3" i="12"/>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H26" i="8"/>
  <c r="G26" i="8"/>
  <c r="H25" i="8"/>
  <c r="G25" i="8"/>
  <c r="H24" i="8"/>
  <c r="G24" i="8"/>
  <c r="H23" i="8"/>
  <c r="G23" i="8"/>
  <c r="H22" i="8"/>
  <c r="G22" i="8"/>
  <c r="H21" i="8"/>
  <c r="G21" i="8"/>
  <c r="H20" i="8"/>
  <c r="G20" i="8"/>
  <c r="H19" i="8"/>
  <c r="G19" i="8"/>
  <c r="H18" i="8"/>
  <c r="G18" i="8"/>
  <c r="H17" i="8"/>
  <c r="G17" i="8"/>
  <c r="H16" i="8"/>
  <c r="G16" i="8"/>
  <c r="H15" i="8"/>
  <c r="G15" i="8"/>
  <c r="H14" i="8"/>
  <c r="G14" i="8"/>
  <c r="H13" i="8"/>
  <c r="G13" i="8"/>
  <c r="H12" i="8"/>
  <c r="G12" i="8"/>
  <c r="H11" i="8"/>
  <c r="G11" i="8"/>
  <c r="H10" i="8"/>
  <c r="G10" i="8"/>
  <c r="H9" i="8"/>
  <c r="G9" i="8"/>
  <c r="H8" i="8"/>
  <c r="G8" i="8"/>
  <c r="H7" i="8"/>
  <c r="G7" i="8"/>
  <c r="H6" i="8"/>
  <c r="G6" i="8"/>
  <c r="H5" i="8"/>
  <c r="G5" i="8"/>
  <c r="H4" i="8"/>
  <c r="G4" i="8"/>
  <c r="H3" i="8"/>
  <c r="G3" i="8"/>
  <c r="E252" i="7"/>
  <c r="E251" i="7"/>
  <c r="E250" i="7"/>
  <c r="E249" i="7"/>
  <c r="E248" i="7"/>
  <c r="E247" i="7"/>
  <c r="E246" i="7"/>
  <c r="E245" i="7"/>
  <c r="E244" i="7"/>
  <c r="E243" i="7"/>
  <c r="E242" i="7"/>
  <c r="E241" i="7"/>
  <c r="E240" i="7"/>
  <c r="E239" i="7"/>
  <c r="E238" i="7"/>
  <c r="E237" i="7"/>
  <c r="E236" i="7"/>
  <c r="E235" i="7"/>
  <c r="E234" i="7"/>
  <c r="E233" i="7"/>
  <c r="E232" i="7"/>
  <c r="E231" i="7"/>
  <c r="E230" i="7"/>
  <c r="E229" i="7"/>
  <c r="E228" i="7"/>
  <c r="E227" i="7"/>
  <c r="E226" i="7"/>
  <c r="E225" i="7"/>
  <c r="E224" i="7"/>
  <c r="E223" i="7"/>
  <c r="E222" i="7"/>
  <c r="E221" i="7"/>
  <c r="E220" i="7"/>
  <c r="E219" i="7"/>
  <c r="E218" i="7"/>
  <c r="E217" i="7"/>
  <c r="E216" i="7"/>
  <c r="E215" i="7"/>
  <c r="E214" i="7"/>
  <c r="E213" i="7"/>
  <c r="E212" i="7"/>
  <c r="E211" i="7"/>
  <c r="E210" i="7"/>
  <c r="E209" i="7"/>
  <c r="E208" i="7"/>
  <c r="E207" i="7"/>
  <c r="E206" i="7"/>
  <c r="E205" i="7"/>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B99" i="6"/>
  <c r="B91" i="6"/>
  <c r="B83" i="6"/>
  <c r="B75" i="6"/>
  <c r="B67" i="6"/>
  <c r="B59" i="6"/>
  <c r="I56" i="6"/>
  <c r="J55" i="6"/>
  <c r="J56" i="6" s="1"/>
  <c r="I55" i="6"/>
  <c r="J54" i="6"/>
  <c r="I54" i="6"/>
  <c r="J53" i="6"/>
  <c r="I53" i="6"/>
  <c r="J52" i="6"/>
  <c r="I52" i="6"/>
  <c r="B51" i="6"/>
  <c r="B43" i="6"/>
  <c r="B35" i="6"/>
  <c r="B27" i="6"/>
  <c r="B19" i="6"/>
  <c r="B11" i="6"/>
  <c r="B3" i="6"/>
  <c r="B99" i="5"/>
  <c r="B91" i="5"/>
  <c r="B83" i="5"/>
  <c r="B75" i="5"/>
  <c r="B67" i="5"/>
  <c r="B59" i="5"/>
  <c r="I56" i="5"/>
  <c r="J55" i="5"/>
  <c r="J56" i="5" s="1"/>
  <c r="I55" i="5"/>
  <c r="J54" i="5"/>
  <c r="I54" i="5"/>
  <c r="J53" i="5"/>
  <c r="I53" i="5"/>
  <c r="J52" i="5"/>
  <c r="I52" i="5"/>
  <c r="B51" i="5"/>
  <c r="B43" i="5"/>
  <c r="B35" i="5"/>
  <c r="B27" i="5"/>
  <c r="B19" i="5"/>
  <c r="I12" i="5"/>
  <c r="B11" i="5"/>
  <c r="B3" i="5"/>
  <c r="B560" i="3"/>
  <c r="B559" i="3"/>
  <c r="B558" i="3"/>
  <c r="B557" i="3"/>
  <c r="B556" i="3"/>
  <c r="B555" i="3"/>
  <c r="B554" i="3"/>
  <c r="B553" i="3"/>
  <c r="B552" i="3"/>
  <c r="B551" i="3"/>
  <c r="B550" i="3"/>
  <c r="B549" i="3"/>
  <c r="B548" i="3"/>
  <c r="B547" i="3"/>
  <c r="B546" i="3"/>
  <c r="B545" i="3"/>
  <c r="B544" i="3"/>
  <c r="B543" i="3"/>
  <c r="B542" i="3"/>
  <c r="B541" i="3"/>
  <c r="B540" i="3"/>
  <c r="B539" i="3"/>
  <c r="B538" i="3"/>
  <c r="B537" i="3"/>
  <c r="B536" i="3"/>
  <c r="B535" i="3"/>
  <c r="B534" i="3"/>
  <c r="B533" i="3"/>
  <c r="B532" i="3"/>
  <c r="B531" i="3"/>
  <c r="B530" i="3"/>
  <c r="B529" i="3"/>
  <c r="B528" i="3"/>
  <c r="B527" i="3"/>
  <c r="B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6" i="3"/>
  <c r="B5" i="3"/>
  <c r="B4" i="3"/>
  <c r="B3" i="3"/>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5" authorId="0" shapeId="0" xr:uid="{00000000-0006-0000-0100-000001000000}">
      <text>
        <r>
          <rPr>
            <sz val="10"/>
            <rFont val="Arial"/>
            <family val="2"/>
          </rPr>
          <t>Esta celda guarda automáticamente la ruta del archivo BD que generas. No editar manualmente.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Sistema</author>
  </authors>
  <commentList>
    <comment ref="B2" authorId="0" shapeId="0" xr:uid="{00000000-0006-0000-0200-000001000000}">
      <text>
        <r>
          <rPr>
            <sz val="10"/>
            <rFont val="Arial"/>
            <family val="2"/>
          </rPr>
          <t>Código del proyecto. Se llena solo según el nombre en la columna Proyecto (catálogo Dim_Proyectos).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Sistema</author>
  </authors>
  <commentList>
    <comment ref="B2" authorId="0" shapeId="0" xr:uid="{00000000-0006-0000-0300-000001000000}">
      <text>
        <r>
          <rPr>
            <sz val="10"/>
            <rFont val="Arial"/>
            <family val="2"/>
          </rPr>
          <t>Código del proyecto. Se llena solo según el nombre en la columna Proyecto (catálogo Dim_Proyectos).</t>
        </r>
      </text>
    </comment>
    <comment ref="G2" authorId="0" shapeId="0" xr:uid="{00000000-0006-0000-0300-000002000000}">
      <text>
        <r>
          <rPr>
            <sz val="10"/>
            <rFont val="Arial"/>
            <family val="2"/>
          </rPr>
          <t>Segundo responsable del entregable (opcional).</t>
        </r>
      </text>
    </comment>
    <comment ref="H2" authorId="0" shapeId="0" xr:uid="{00000000-0006-0000-0300-000003000000}">
      <text>
        <r>
          <rPr>
            <sz val="10"/>
            <rFont val="Arial"/>
            <family val="2"/>
          </rPr>
          <t>Tercer responsable del entregable (opcional).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Sistema</author>
  </authors>
  <commentList>
    <comment ref="B2" authorId="0" shapeId="0" xr:uid="{00000000-0006-0000-0600-000001000000}">
      <text>
        <r>
          <rPr>
            <sz val="10"/>
            <rFont val="Arial"/>
            <family val="2"/>
          </rPr>
          <t>Seleccione el entregable del catálogo. La lista se alimenta de la hoja "Avance Subestaciones".</t>
        </r>
      </text>
    </comment>
    <comment ref="C2" authorId="0" shapeId="0" xr:uid="{00000000-0006-0000-0600-000002000000}">
      <text>
        <r>
          <rPr>
            <sz val="10"/>
            <rFont val="Arial"/>
            <family val="2"/>
          </rPr>
          <t>Persona que trabajó. Si varias personas trabajaron el mismo entregable el mismo día, use una fila por persona.</t>
        </r>
      </text>
    </comment>
    <comment ref="F2" authorId="0" shapeId="0" xr:uid="{00000000-0006-0000-0600-000003000000}">
      <text>
        <r>
          <rPr>
            <sz val="10"/>
            <rFont val="Arial"/>
            <family val="2"/>
          </rPr>
          <t>Horas que esa persona dedicó a ese entregable ese día (ej. 8 · 6.5).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Sistema</author>
  </authors>
  <commentList>
    <comment ref="D2" authorId="0" shapeId="0" xr:uid="{00000000-0006-0000-0B00-000001000000}">
      <text>
        <r>
          <rPr>
            <sz val="10"/>
            <rFont val="Arial"/>
            <family val="2"/>
          </rPr>
          <t>Avance calculado automáticamente desde el estado de los entregables (Aprobado=100%, Atención=80%, En revisión=75%, En proceso=50%, Rechazado=30%). No requiere MS Project.</t>
        </r>
      </text>
    </comment>
  </commentList>
</comments>
</file>

<file path=xl/sharedStrings.xml><?xml version="1.0" encoding="utf-8"?>
<sst xmlns="http://schemas.openxmlformats.org/spreadsheetml/2006/main" count="5941" uniqueCount="915">
  <si>
    <t>📘 GUÍA DEL ARCHIVO — SEGUIMIENTO NATURGY ALTA TENSIÓN</t>
  </si>
  <si>
    <t>Cómo usar este archivo + qué información va en cada hoja</t>
  </si>
  <si>
    <t>🎨 1. LEYENDA DE COLORES</t>
  </si>
  <si>
    <t>Cada celda del archivo está pintada según el tipo de información. NO TOQUES las verdes ni las grises.</t>
  </si>
  <si>
    <t>Tipo</t>
  </si>
  <si>
    <t>Descripción</t>
  </si>
  <si>
    <t>Acción</t>
  </si>
  <si>
    <t>📝 MANUAL</t>
  </si>
  <si>
    <t>Texto/número/comentarios que escribes a mano</t>
  </si>
  <si>
    <t>ESCRIBIR</t>
  </si>
  <si>
    <t>📋 DESPLEGABLE</t>
  </si>
  <si>
    <t>Hacer clic en la flechita ▼ y escoger de la lista</t>
  </si>
  <si>
    <t>ESCOGER</t>
  </si>
  <si>
    <t>📅 FECHA</t>
  </si>
  <si>
    <t>Fecha en formato AAAA-MM-DD</t>
  </si>
  <si>
    <t>🧮 CALCULADO</t>
  </si>
  <si>
    <t>Fórmula automática que se actualiza sola</t>
  </si>
  <si>
    <t>NO TOCAR</t>
  </si>
  <si>
    <t>🔢 AUTO</t>
  </si>
  <si>
    <t>ID generado automáticamente</t>
  </si>
  <si>
    <t>📂 2. PARA QUÉ SIRVE CADA HOJA</t>
  </si>
  <si>
    <t>#</t>
  </si>
  <si>
    <t>Hoja</t>
  </si>
  <si>
    <t>Para qué sirve</t>
  </si>
  <si>
    <t>Cuándo se llena</t>
  </si>
  <si>
    <t>Avance Líneas / Avance Subestaciones</t>
  </si>
  <si>
    <t>Entregables documentales por proyecto, separados: una hoja para Líneas y otra para Subestaciones. Cada líder gestiona la suya.</t>
  </si>
  <si>
    <t>Diario / cuando hay cambios</t>
  </si>
  <si>
    <t>📝 PRINCIPAL</t>
  </si>
  <si>
    <t>Semana Líneas Actual</t>
  </si>
  <si>
    <t>Actividades de la semana en curso del equipo de Líneas de Transmisión. Una fila por día y colaborador.</t>
  </si>
  <si>
    <t>Cada lunes</t>
  </si>
  <si>
    <t>📝 SEMANAL</t>
  </si>
  <si>
    <t>Semana Líneas Proyectada</t>
  </si>
  <si>
    <t>Actividades de la próxima semana del equipo de Líneas. El equipo de Subestaciones usa su hoja aparte "Semana Subestaciones" (registro por tarea, persona y horas).</t>
  </si>
  <si>
    <t>Cada viernes</t>
  </si>
  <si>
    <t>Financiero</t>
  </si>
  <si>
    <t>Datos económicos por proyecto: cotizado, facturado, % avance, observaciones.</t>
  </si>
  <si>
    <t>Cierre de mes</t>
  </si>
  <si>
    <t>📝 MENSUAL</t>
  </si>
  <si>
    <t>Cronograma</t>
  </si>
  <si>
    <t>124 hitos sincronizados con MS Project (con % completado del MSP). Para actualizar: borra los datos y pega la exportación del MSP — el dashboard reconoce el formato automáticamente.</t>
  </si>
  <si>
    <t>Cuando se actualiza el MSP</t>
  </si>
  <si>
    <t>📝 OCASIONAL</t>
  </si>
  <si>
    <t>Plan_Curva</t>
  </si>
  <si>
    <t>Planificación semanal de % avance por proyecto. Sirve para dibujar la curva S planeada.</t>
  </si>
  <si>
    <t>Cuando hay re-plan</t>
  </si>
  <si>
    <t>Avance_Real</t>
  </si>
  <si>
    <t>% avance real ejecutado por proyecto y fecha. Sirve para dibujar la curva S real.</t>
  </si>
  <si>
    <t>Dim_Proyectos</t>
  </si>
  <si>
    <t>Catálogo maestro de proyectos (nombre + tipo: Línea AT / Subestación).</t>
  </si>
  <si>
    <t>Cuando entra proyecto nuevo</t>
  </si>
  <si>
    <t>⚙️ CATÁLOGO</t>
  </si>
  <si>
    <t>Dim_Colaboradores</t>
  </si>
  <si>
    <t>Catálogo de personas del equipo (nombre + rol).</t>
  </si>
  <si>
    <t>Cuando entra gente nueva</t>
  </si>
  <si>
    <t>🔄 3. CÓMO USAR EL ARCHIVO (FLUJO DE TRABAJO)</t>
  </si>
  <si>
    <t>Paso</t>
  </si>
  <si>
    <t>Qué hacer</t>
  </si>
  <si>
    <t>1️⃣</t>
  </si>
  <si>
    <t>Captura diaria</t>
  </si>
  <si>
    <t>Cuando hay novedades en entregables (cambio de estado, nuevo envío, respuesta de Naturgy), vas a la hoja "Avance proyectos" y actualizas la fila correspondiente.</t>
  </si>
  <si>
    <t>2️⃣</t>
  </si>
  <si>
    <t>Captura semanal</t>
  </si>
  <si>
    <t>Cada lunes: el equipo de Líneas registra qué hizo cada colaborador en "Semana Líneas Actual"; el equipo de Subestaciones registra sus tareas y horas en "Semana Subestaciones". Cada viernes se planifica la semana siguiente.</t>
  </si>
  <si>
    <t>3️⃣</t>
  </si>
  <si>
    <t>Captura mensual</t>
  </si>
  <si>
    <t>Al cierre de mes: actualizas "Financiero" (cotizado/facturado) y agregas una fila en "Avance_Real" por proyecto activo con el % de avance real del mes.</t>
  </si>
  <si>
    <t>4️⃣</t>
  </si>
  <si>
    <t>Cuando se actualiza el MS Project</t>
  </si>
  <si>
    <t>En MS Project: Archivo → Exportar → Guardar como Excel. Abres el Excel exportado, copias todo (Ctrl+A, Ctrl+C). En esta hoja "Cronograma": borras las filas 3 en adelante y pegas en celda A2 (encima de los headers). El dashboard reconoce el formato automáticamente.</t>
  </si>
  <si>
    <t>5️⃣</t>
  </si>
  <si>
    <t>Ver el dashboard</t>
  </si>
  <si>
    <t>Abres el archivo "Dashboard_Naturgy_v9.html" en cualquier navegador. Oprimes "Cargar Excel" y seleccionas este archivo. Se procesa solo en 2-3 segundos.</t>
  </si>
  <si>
    <t>📋 4. PROYECTOS REGISTRADOS (15 total: 8 Líneas + 7 Subestaciones)</t>
  </si>
  <si>
    <t>Los proyectos "El Coco II" y "Ampliación SE Santiago I" tienen componentes de Línea (LAT) y Subestación (SE), por eso se dividieron en 2 cada uno.</t>
  </si>
  <si>
    <t>📡 LÍNEAS AT (8)</t>
  </si>
  <si>
    <t>⚡ SUBESTACIONES (7)</t>
  </si>
  <si>
    <t xml:space="preserve">  1.  Chorrera-El Torno</t>
  </si>
  <si>
    <t xml:space="preserve">  1.  El Coco II (SE)</t>
  </si>
  <si>
    <t xml:space="preserve">  2.  Justo Arosemena</t>
  </si>
  <si>
    <t xml:space="preserve">  2.  Ampliación SE Locería</t>
  </si>
  <si>
    <t xml:space="preserve">  3.  Llanos Sánchez-Pocrí</t>
  </si>
  <si>
    <t xml:space="preserve">  3.  Locería Metal Clad</t>
  </si>
  <si>
    <t xml:space="preserve">  4.  Panamá III - La Floresta</t>
  </si>
  <si>
    <t xml:space="preserve">  4.  Conexión Bahía SE Llano Sánchez</t>
  </si>
  <si>
    <t xml:space="preserve">  5.  Santiago II</t>
  </si>
  <si>
    <t xml:space="preserve">  5.  SE Almirante 2</t>
  </si>
  <si>
    <t xml:space="preserve">  6.  LAT Divisa-La Arena (Levantamiento)</t>
  </si>
  <si>
    <t xml:space="preserve">  6.  Reemplazo Metalclad T2 - SE San Francisco</t>
  </si>
  <si>
    <t xml:space="preserve">  7.  El Coco II (LAT)</t>
  </si>
  <si>
    <t xml:space="preserve">  7.  Ampliación SE Santiago I (SE)</t>
  </si>
  <si>
    <t xml:space="preserve">  8.  Ampliación SE Santiago I (LAT)</t>
  </si>
  <si>
    <t>🔄 ACTUALIZAR DASHBOARD NATURGY</t>
  </si>
  <si>
    <t>📋 Pasos para usar:</t>
  </si>
  <si>
    <t>📁</t>
  </si>
  <si>
    <t>1. Actualiza normalmente las hojas: 'Avance proyectos', 'Semana Actual', 'Semana Proyectada'.</t>
  </si>
  <si>
    <t>2. Si hay cambios en lo financiero o cronograma, edita las hojas 'Financiero' y 'Cronograma'.</t>
  </si>
  <si>
    <t>3. Vuelve a esta hoja y oprime el botón naranja.</t>
  </si>
  <si>
    <t>4. La primera vez te pedirá dónde guardar el archivo BD generado. Después lo recordará.</t>
  </si>
  <si>
    <t>5. Abre el Dashboard HTML, carga el archivo BD y verás todo actualizado.</t>
  </si>
  <si>
    <t>⚙️ Información técnica:</t>
  </si>
  <si>
    <t>Este archivo es la ÚNICA fuente de datos del dashboard.</t>
  </si>
  <si>
    <t>El macro genera/actualiza un archivo BD (.xlsx) en formato 'modelo estrella' que el HTML lee.</t>
  </si>
  <si>
    <t>Hojas que el equipo edita día a día:</t>
  </si>
  <si>
    <t xml:space="preserve">    • Avance proyectos · Semana Actual · Semana Proyectada (las de siempre)</t>
  </si>
  <si>
    <t xml:space="preserve">    • Financiero · Cronograma (nuevas, alimentan páginas 3 y 4 del dashboard)</t>
  </si>
  <si>
    <t xml:space="preserve">    • Dim_Proyectos · Dim_Colaboradores (catálogos: solo se editan al añadir entradas nuevas)</t>
  </si>
  <si>
    <t>🎨 LEYENDA DE COLORES</t>
  </si>
  <si>
    <t>📝 Editable a mano</t>
  </si>
  <si>
    <t>Texto, número o fecha que tú escribes</t>
  </si>
  <si>
    <t>📋 Desplegable</t>
  </si>
  <si>
    <t>Escoger de lista (clic en la flechita ▼)</t>
  </si>
  <si>
    <t>🧮 Calculado</t>
  </si>
  <si>
    <t>Fórmula automática — NO editar</t>
  </si>
  <si>
    <t>🔢 Auto-generado</t>
  </si>
  <si>
    <t>ID que se genera solo — NO editar</t>
  </si>
  <si>
    <t>📅 Fecha</t>
  </si>
  <si>
    <t>Fecha que metes a mano (formato yyyy-mm-dd)</t>
  </si>
  <si>
    <t>PROGRAMACIÓN DE TAREAS — LÍNEAS DE TRANSMISIÓN</t>
  </si>
  <si>
    <t>Proyecto</t>
  </si>
  <si>
    <t>Código proyecto</t>
  </si>
  <si>
    <t>Etapa proyecto</t>
  </si>
  <si>
    <t>Carpeta</t>
  </si>
  <si>
    <t>Entregables</t>
  </si>
  <si>
    <t>Responsable</t>
  </si>
  <si>
    <t>Revisor</t>
  </si>
  <si>
    <t>Revision</t>
  </si>
  <si>
    <t>Estado</t>
  </si>
  <si>
    <t>Fecha envio</t>
  </si>
  <si>
    <t xml:space="preserve">Fecha respuesta </t>
  </si>
  <si>
    <t>Observaciones</t>
  </si>
  <si>
    <t>Chorrera-El Torno</t>
  </si>
  <si>
    <t>Ingeniería Detalle</t>
  </si>
  <si>
    <t>SST</t>
  </si>
  <si>
    <t xml:space="preserve">Estudio de seguridad y salud </t>
  </si>
  <si>
    <t>En revisión</t>
  </si>
  <si>
    <t>No veo la revision</t>
  </si>
  <si>
    <t>Condiciones_OC</t>
  </si>
  <si>
    <t>Condiciones de contratación obras civiles</t>
  </si>
  <si>
    <t>EETT_OC</t>
  </si>
  <si>
    <t>Especificaciones técnicas obras civiles</t>
  </si>
  <si>
    <t>Especificación técnica pica de puesta a tierra 5/8"</t>
  </si>
  <si>
    <t xml:space="preserve">Especificación técnica cable desnudo </t>
  </si>
  <si>
    <t>Especificaciones Técnicas de perforación horizontal dirigida (PHD)</t>
  </si>
  <si>
    <t>Presupuesto_OC</t>
  </si>
  <si>
    <t xml:space="preserve">Formulario de precios de obras civiles </t>
  </si>
  <si>
    <t>Rechazado</t>
  </si>
  <si>
    <t xml:space="preserve">Preciario de obra civil </t>
  </si>
  <si>
    <t>El dia 3/3/2026 se dio respuesta a la incidencia 305</t>
  </si>
  <si>
    <t>Cronograma_OC</t>
  </si>
  <si>
    <t>Aprobado</t>
  </si>
  <si>
    <t>Memorias_OC</t>
  </si>
  <si>
    <t xml:space="preserve">Memoria de cámara de giro </t>
  </si>
  <si>
    <t>Memoria de canalizaciones</t>
  </si>
  <si>
    <t xml:space="preserve">Memoria de cámara de halado </t>
  </si>
  <si>
    <t xml:space="preserve">Memoria de cámara de empalme </t>
  </si>
  <si>
    <t>Modelos_OC</t>
  </si>
  <si>
    <t xml:space="preserve">Listado de planos </t>
  </si>
  <si>
    <t>Se indica revisar, en todos los modelos, pero no se encuentran incidencias abiertas</t>
  </si>
  <si>
    <t xml:space="preserve">Plano de localización </t>
  </si>
  <si>
    <t xml:space="preserve">Plano trayectoria general </t>
  </si>
  <si>
    <t xml:space="preserve">Plano de señalización vial </t>
  </si>
  <si>
    <t>Plano planta perfil general</t>
  </si>
  <si>
    <t>Plano planta perfil  subterránea  tramo 1</t>
  </si>
  <si>
    <t>Plano planta perfil  subterránea  tramo 2</t>
  </si>
  <si>
    <t>Plano planta perfil  subterránea  tramo 3</t>
  </si>
  <si>
    <t>Plano planta perfil  subterránea  tramo 4</t>
  </si>
  <si>
    <t>Plano planta perfil  subterránea  tramo 5</t>
  </si>
  <si>
    <t xml:space="preserve">Plano de demoliciones </t>
  </si>
  <si>
    <t xml:space="preserve">Plano cámara de empalme </t>
  </si>
  <si>
    <t>Plano cámara de giro</t>
  </si>
  <si>
    <t xml:space="preserve">Plano cámara de halado </t>
  </si>
  <si>
    <t>Plano de secciones de calles</t>
  </si>
  <si>
    <t>Plano Típico de junta, empalmé de losa, cordón y acera</t>
  </si>
  <si>
    <t xml:space="preserve">Modelo general obras civiles </t>
  </si>
  <si>
    <t xml:space="preserve">Modelo general planta perfil </t>
  </si>
  <si>
    <t>Modelo general planta perfil - tramo 1-2</t>
  </si>
  <si>
    <t>Modelo general planta perfil - tramo 3-4</t>
  </si>
  <si>
    <t>Modelo general planta perfil - tramo 5-6</t>
  </si>
  <si>
    <t>Modelo general planta perfil - tramo 7-8</t>
  </si>
  <si>
    <t>Modelo general planta perfil - tramo 9-10</t>
  </si>
  <si>
    <t xml:space="preserve">Modelo general de demoliciones </t>
  </si>
  <si>
    <t xml:space="preserve">Modelo cámara de empalme </t>
  </si>
  <si>
    <t xml:space="preserve">Modelo cámara de giro </t>
  </si>
  <si>
    <t xml:space="preserve">Modelo cámara de halado </t>
  </si>
  <si>
    <t>Se especifica incluir cantidades de todo lo relacionado a puesta a tierra</t>
  </si>
  <si>
    <t>Memorias_ME</t>
  </si>
  <si>
    <t>Informe ejecutivo del proyecto</t>
  </si>
  <si>
    <t>El dia 23/01/2026 se resive incidencia indicando revisar si este documento corresponde a entrega de Ing. Básica o a Ing. de Detalle</t>
  </si>
  <si>
    <t>Diseño de Puesta a Tierra</t>
  </si>
  <si>
    <t>Diseño de conductores en canalizaciones</t>
  </si>
  <si>
    <t>Equipos</t>
  </si>
  <si>
    <t>Especificación técnica de cable de potencia</t>
  </si>
  <si>
    <t>Especificación técnica de empalmes subterráneos</t>
  </si>
  <si>
    <t>Especificación técnica de cajas de puesta a tierra</t>
  </si>
  <si>
    <t>Especificación técnica conductor de cobre aislado</t>
  </si>
  <si>
    <t>Especificación técnica SVL</t>
  </si>
  <si>
    <t>Especificación técnica de cable Cu desnudo No. 2/0 AWG</t>
  </si>
  <si>
    <t>Especificaciones técnica de terminales</t>
  </si>
  <si>
    <t>EETT_ME</t>
  </si>
  <si>
    <t>Especificaciones de montaje electromecánico</t>
  </si>
  <si>
    <t>Condiciones_ME</t>
  </si>
  <si>
    <t>Condiciones de contratación montaje electromecánico</t>
  </si>
  <si>
    <t>Presupuesto_ME</t>
  </si>
  <si>
    <t>Lista de precios de suministros y montaje electromecánico</t>
  </si>
  <si>
    <t>Modelos_ME</t>
  </si>
  <si>
    <t>Modelo de trayectoria general electromecánico</t>
  </si>
  <si>
    <t>Atención de comentarios</t>
  </si>
  <si>
    <t>Se resiven comentarios a los modelos, se esta realizando las correcciones solicitadas</t>
  </si>
  <si>
    <t>Listado de planos ME</t>
  </si>
  <si>
    <t>Diagrama unifilar general</t>
  </si>
  <si>
    <t>Plano de diagrama de conexión de pantallas</t>
  </si>
  <si>
    <t>Plano de trayectoria general electromecánico</t>
  </si>
  <si>
    <t>Plano detalle suministro cable de potencia</t>
  </si>
  <si>
    <t>Plano detalle suministro caja de conexión</t>
  </si>
  <si>
    <t>Plano detalle suministro terminal GIS</t>
  </si>
  <si>
    <t>Plano detalle suministro empalme</t>
  </si>
  <si>
    <t>Modelo detalle de puesta a tierra cámaras</t>
  </si>
  <si>
    <t>Plano de puesta a tierra tramo subterráneo</t>
  </si>
  <si>
    <t>Modelo detalle montaje cámara de halado</t>
  </si>
  <si>
    <t>Plano detalle montaje cámara de halado</t>
  </si>
  <si>
    <t>Modelo detalle montaje cámara de empalme</t>
  </si>
  <si>
    <t>Plano detalle montaje cámara de empalme</t>
  </si>
  <si>
    <t>Modelo detalle montaje cámara de giro</t>
  </si>
  <si>
    <t>Plano detalle montaje cámara de giro</t>
  </si>
  <si>
    <t>Cronograma_ME</t>
  </si>
  <si>
    <t>Justo Arosemena</t>
  </si>
  <si>
    <t>Estudio de traza</t>
  </si>
  <si>
    <t>Estudios previos</t>
  </si>
  <si>
    <t>En proceso</t>
  </si>
  <si>
    <t xml:space="preserve">Especificación técnica varilla de puesta a tierra 5/8” </t>
  </si>
  <si>
    <t>Especificación técnica Cable Cu desnudo No. 4/0 AWG</t>
  </si>
  <si>
    <t>Memoria de camara de  empalme</t>
  </si>
  <si>
    <t>Listado de planos</t>
  </si>
  <si>
    <t>Plano de localización</t>
  </si>
  <si>
    <t>Plano trayectoria general</t>
  </si>
  <si>
    <t>Plano planta perfil tramo subterránea 1</t>
  </si>
  <si>
    <t>Plano planta perfil tramo subterránea 2</t>
  </si>
  <si>
    <t>Plano planta perfil tramo subterránea 3</t>
  </si>
  <si>
    <t>Plano de demoliciones</t>
  </si>
  <si>
    <t>Plano detalle de camara de empalmes</t>
  </si>
  <si>
    <t xml:space="preserve">Plano detalle de camara de empalmes prefabricada </t>
  </si>
  <si>
    <t xml:space="preserve">Plano secciones de calle </t>
  </si>
  <si>
    <t xml:space="preserve">Plano tipico de junta, empalme de losa, cordón y acera </t>
  </si>
  <si>
    <t>Modelo trayectoria general</t>
  </si>
  <si>
    <t xml:space="preserve">Modelo de camaras empalme tipo A </t>
  </si>
  <si>
    <t>Modelo de camaras empalme prefabricada tipo B</t>
  </si>
  <si>
    <t>Criterios de diseño de montaje electromecánico</t>
  </si>
  <si>
    <t>Memoria de diseño de puesta a tierra</t>
  </si>
  <si>
    <t>Memoria de diseño de conductores en canalizaciones</t>
  </si>
  <si>
    <t>Especificación técnica suministros electromecánicos</t>
  </si>
  <si>
    <t>Especificación técnica de montaje electromecánico</t>
  </si>
  <si>
    <t>Fichas técnicas de suministros electromecánicos</t>
  </si>
  <si>
    <t xml:space="preserve">Condiciones de contratación obras electromecánicas </t>
  </si>
  <si>
    <t>Lista de precios montaje electromecánico</t>
  </si>
  <si>
    <t>Cronograma de obras electromecánicas</t>
  </si>
  <si>
    <t>Plano esquema PAT pantallas metálicas de los cables</t>
  </si>
  <si>
    <t>Plano detalle estructuras de soporte y conexión de equipos SE</t>
  </si>
  <si>
    <t>Modelo de camaras</t>
  </si>
  <si>
    <t>Plano detalle montaje camaras</t>
  </si>
  <si>
    <t>Plano detalle conexión SPAT</t>
  </si>
  <si>
    <t>Plano detalle suministros electromecánicos</t>
  </si>
  <si>
    <t>Plano detalle estructuras de soporte</t>
  </si>
  <si>
    <t>Llanos Sánchez-Pocrí</t>
  </si>
  <si>
    <t xml:space="preserve">Memoria de cimentaciones de estructuras de transmisión </t>
  </si>
  <si>
    <t xml:space="preserve">Memoria de cimentacion estructuras de soporte </t>
  </si>
  <si>
    <t>Plano planta perfil tramo aéreo  1</t>
  </si>
  <si>
    <t>Plano planta perfil tramo aéreo  2</t>
  </si>
  <si>
    <t xml:space="preserve">Plano de cimentación estructuras de transmisión </t>
  </si>
  <si>
    <t xml:space="preserve">Plano de cimentación estructuras de soporte </t>
  </si>
  <si>
    <t xml:space="preserve">Modelo de camaras empalme </t>
  </si>
  <si>
    <t>Modelo  atraque</t>
  </si>
  <si>
    <t>Modelo de cimentaciones de estructuras de soporte</t>
  </si>
  <si>
    <t xml:space="preserve">Modelo de cimentaciones de estructuras de transmisión </t>
  </si>
  <si>
    <t>Memoria de criterios de diseño electromecánico</t>
  </si>
  <si>
    <t>Memoria de cálculo de aislación</t>
  </si>
  <si>
    <t>Memoria de Puesta a Tierra</t>
  </si>
  <si>
    <t>Memoria de cálculo estructuras de transmisión</t>
  </si>
  <si>
    <t>Memoria de cálculo estructura de llegada</t>
  </si>
  <si>
    <t>Memoria de verificación de conductor de fases y cable de guarda</t>
  </si>
  <si>
    <t>Memoria de verificación de herrajes y aisladores</t>
  </si>
  <si>
    <t>Memoria de plantillado (incluye tabla de tendido y anexo .bak)</t>
  </si>
  <si>
    <t>Especificación técnica de suministros tramo aéreo</t>
  </si>
  <si>
    <t>Fichas técnicas de suministros tramo aéreo</t>
  </si>
  <si>
    <t>Especificación técnica de suministros tramo subterráneo</t>
  </si>
  <si>
    <t>Fichas técnicas de suministros tramo subterráneo</t>
  </si>
  <si>
    <t>Especificación técnica de estructuras</t>
  </si>
  <si>
    <t>Especificación de montaje electromecánico tramo aereo</t>
  </si>
  <si>
    <t>Especificación de montaje electromecánico tramo subterraneo</t>
  </si>
  <si>
    <t>Condiciones de contratación electromecánicas tramo aereo</t>
  </si>
  <si>
    <t>Condiciones de contratación electromecánicas tramo subterraneo</t>
  </si>
  <si>
    <t>Presupuesto ME tramo aereo</t>
  </si>
  <si>
    <t>Presupuesto ME tramo subterraneo</t>
  </si>
  <si>
    <t>Modelo trazado general ME</t>
  </si>
  <si>
    <t>Diagrama unifilar ME</t>
  </si>
  <si>
    <t>Modelo tramo subterráneo</t>
  </si>
  <si>
    <t>Plano de esquema de conexión de PAT de la línea subterránea</t>
  </si>
  <si>
    <t>Plano detalle conexión SPAT cámaras</t>
  </si>
  <si>
    <t>Modelo tramo aéreo</t>
  </si>
  <si>
    <t>Plano diseño de estructuras de transmisión</t>
  </si>
  <si>
    <t>Planos arboles de carga</t>
  </si>
  <si>
    <t>Plano de dimensionamiento eléctrico</t>
  </si>
  <si>
    <t>Plano detalle montaje ME estructura de transición</t>
  </si>
  <si>
    <t>Plano de puesta a tierra tramo aéreo</t>
  </si>
  <si>
    <t>Plano de conjunto de armados</t>
  </si>
  <si>
    <t>Plano placas de señalización</t>
  </si>
  <si>
    <t>Modelo estructura de llegada</t>
  </si>
  <si>
    <t>Plano diseño estructura de llegada</t>
  </si>
  <si>
    <t>Cronograma ME aereo</t>
  </si>
  <si>
    <t>Cronograma ME subterraneo</t>
  </si>
  <si>
    <t>Panamá III - La Floresta</t>
  </si>
  <si>
    <t>Santiago II</t>
  </si>
  <si>
    <t>El Coco II (LAT)</t>
  </si>
  <si>
    <t>Estudios previos LAT</t>
  </si>
  <si>
    <t>Estudio de suelo</t>
  </si>
  <si>
    <t>Aprobado el 31 dic 2025</t>
  </si>
  <si>
    <t>Informe de topografía</t>
  </si>
  <si>
    <t>Revisión 137</t>
  </si>
  <si>
    <t>En rev por Priscila, con comentario de Nicol que dice "revisar"</t>
  </si>
  <si>
    <t>Plano de topografía</t>
  </si>
  <si>
    <t>Aprobado por Priscila el 31</t>
  </si>
  <si>
    <t>Informe de georradar</t>
  </si>
  <si>
    <t>Aprobado por Priscila 3/03</t>
  </si>
  <si>
    <t>Plano de georradar</t>
  </si>
  <si>
    <t>Revisión 16</t>
  </si>
  <si>
    <t>Todo Estudios Previos corregido e incidencias contestadas. Sellado y firmado.</t>
  </si>
  <si>
    <t>Revisión 52</t>
  </si>
  <si>
    <t>Enviado a flujo - incidencias atendidas</t>
  </si>
  <si>
    <t>Revisión 10</t>
  </si>
  <si>
    <t>Enviado a revisión nuevamente por un error en Forma</t>
  </si>
  <si>
    <t>Revisión 11</t>
  </si>
  <si>
    <t>Incidencias atendidas</t>
  </si>
  <si>
    <t>Revisión 12</t>
  </si>
  <si>
    <t>Revisión 13</t>
  </si>
  <si>
    <t>Enviado el 12 mayo 2026</t>
  </si>
  <si>
    <t>Revisión 20</t>
  </si>
  <si>
    <t>Revisión 22</t>
  </si>
  <si>
    <t>No registra</t>
  </si>
  <si>
    <t>Ampliación SE Santiago I (LAT)</t>
  </si>
  <si>
    <t>No define</t>
  </si>
  <si>
    <t>PROGRAMACIÓN DE TAREAS — SUBESTACIONES</t>
  </si>
  <si>
    <t>Responsable 1</t>
  </si>
  <si>
    <t>Responsable 2</t>
  </si>
  <si>
    <t>Responsable 3</t>
  </si>
  <si>
    <t>SE Almirante 2</t>
  </si>
  <si>
    <t>Estudios previos SE</t>
  </si>
  <si>
    <t>Revisión 112</t>
  </si>
  <si>
    <t>Rechazado 20 feb 2026 - solicitan estudio resistividad</t>
  </si>
  <si>
    <t>Aprobado 20 feb 2026</t>
  </si>
  <si>
    <t>El Coco II (SE)</t>
  </si>
  <si>
    <t>Aprobado el 11/05/2026</t>
  </si>
  <si>
    <t>Presenta comentarios leves</t>
  </si>
  <si>
    <t>Plano de segregación</t>
  </si>
  <si>
    <t>Locería Metal Clad</t>
  </si>
  <si>
    <t>Revisión 76</t>
  </si>
  <si>
    <t>Actualizado según lo solicitado</t>
  </si>
  <si>
    <t>Se atendieron incidencias</t>
  </si>
  <si>
    <t>Reemplazo Metalclad T2 - SE San Francisco</t>
  </si>
  <si>
    <t>Revisión 4</t>
  </si>
  <si>
    <t>Posible rechazo</t>
  </si>
  <si>
    <t>Ampliación SE Locería</t>
  </si>
  <si>
    <t>Revisión 84</t>
  </si>
  <si>
    <t>Aprobado el 05/05/26</t>
  </si>
  <si>
    <t>Revisión 83</t>
  </si>
  <si>
    <t>Enviado</t>
  </si>
  <si>
    <t>Revisión 85</t>
  </si>
  <si>
    <t>Aprobado el 04/05/2026</t>
  </si>
  <si>
    <t>Estudio de hidrología</t>
  </si>
  <si>
    <t>Revisión 46</t>
  </si>
  <si>
    <t>Aprobado el 20/03/2026</t>
  </si>
  <si>
    <t>Ampliación SE Santiago I (SE)</t>
  </si>
  <si>
    <t>Aprobado 14/04/2025</t>
  </si>
  <si>
    <t>E.E.T.T. Obra civil</t>
  </si>
  <si>
    <t>FRANCISCO</t>
  </si>
  <si>
    <t>Camilo Galvez</t>
  </si>
  <si>
    <t>E.E.T.T. Estructura Metálica</t>
  </si>
  <si>
    <t>Germán Cardenas</t>
  </si>
  <si>
    <t>Criterios de diseño</t>
  </si>
  <si>
    <t>Presupuesto  OC</t>
  </si>
  <si>
    <t>Jose Fabian Pacheco</t>
  </si>
  <si>
    <t>Condiciones de Contratación OC</t>
  </si>
  <si>
    <t>ESPECIFICACIONES ESTRUCTURAS METALICAS</t>
  </si>
  <si>
    <t>Cámara de potencia Tipo A</t>
  </si>
  <si>
    <t>Canaleta de potencia</t>
  </si>
  <si>
    <t>Cimentación transformador SSAA</t>
  </si>
  <si>
    <t>Cimentación Shelter</t>
  </si>
  <si>
    <t>Espectro Sísmico</t>
  </si>
  <si>
    <t>Estructura Metálica</t>
  </si>
  <si>
    <t>MODELO</t>
  </si>
  <si>
    <t>Plano de alternativas de vigaductos</t>
  </si>
  <si>
    <t>Planta general</t>
  </si>
  <si>
    <t>Canalizaciones</t>
  </si>
  <si>
    <t>Cimentacion tranformador de SSAA</t>
  </si>
  <si>
    <t>Cimentacion shelter</t>
  </si>
  <si>
    <t>CRONOGRAMA</t>
  </si>
  <si>
    <t>Anexo</t>
  </si>
  <si>
    <t>ESPECIFICACIÓN TÉCNICA DE  CONDUCTOR DE PUESTA A  TIERRA</t>
  </si>
  <si>
    <t>ESPECIFICACIÓN TÉCNICA DE  CONECTORES</t>
  </si>
  <si>
    <t>ESPECIFICACIÓN TÉCNICA DE  PUNTAS CAPTADORAS</t>
  </si>
  <si>
    <t>ESPECIFICACIÓN TÉCNICA DE  MONTAJE ELECTROMECÁNICO</t>
  </si>
  <si>
    <t>ESPECIFICACION TECNICA DE CABLES DE BAJA TENSIÓN</t>
  </si>
  <si>
    <t>Listado de materiales</t>
  </si>
  <si>
    <t>Presupuesto Electromecanico</t>
  </si>
  <si>
    <t>Condiciones de contratación ME</t>
  </si>
  <si>
    <t>FICHA TÉCNICA DE PUNTAS CAPTADORAS</t>
  </si>
  <si>
    <t>Conceptos fundamentales</t>
  </si>
  <si>
    <t>Distancias eléctricas y de seguridad</t>
  </si>
  <si>
    <t>Estudio de coordinación de aislamiento</t>
  </si>
  <si>
    <t>Selección de descargadores de sobretensión</t>
  </si>
  <si>
    <t>Cálculo de cables aislados MT</t>
  </si>
  <si>
    <t>Cálculo de servicios auxiliares</t>
  </si>
  <si>
    <t>Instalaciones eléctricas e iluminación</t>
  </si>
  <si>
    <t>Apantallamiento de shelter</t>
  </si>
  <si>
    <t>MEMORIA DE CALCULO DE MALLA DE PUESTA A TIERRA</t>
  </si>
  <si>
    <t>Modelo General de Equipos y celdas</t>
  </si>
  <si>
    <t>Modelo rutas de cables y bandejas</t>
  </si>
  <si>
    <t>Modelo de Sistemas SPT, APT y EIE</t>
  </si>
  <si>
    <t>ESPECIFICACIÓN TÉCNICA DE SUMINISTRO DE TABLERO DE RECTIFICADOR Y BANCO DE BATERÍAS</t>
  </si>
  <si>
    <t>FICHA ECONÓMICA DE TABLERO DE RECTIFICADOR Y BANCO DE BATERÍAS</t>
  </si>
  <si>
    <t>Especificaciones para fabricación de estructuras metálicas</t>
  </si>
  <si>
    <t>Ficha técnica para fabricación de estructuras metálicas</t>
  </si>
  <si>
    <t>Especificaciones técnicas de obra civil</t>
  </si>
  <si>
    <t>ESPECIFICACIÓN TÉCNICA DEHERRAJES Y ACCESORIOS</t>
  </si>
  <si>
    <t>ESPECIFICACIÓN TÉCNICA DE VARILLA DE PUESTA A TIERRA</t>
  </si>
  <si>
    <t>ESPECIFICACIÓN TÉCNICA DE CONDUCTOR DE PUESTA A TIERRA</t>
  </si>
  <si>
    <t>Especificación Técnica de Autoválvulas</t>
  </si>
  <si>
    <t>ESPECIFICACIÓN TÉCNICA DE PUNTAS FRANKLIN.</t>
  </si>
  <si>
    <t>ESPECIFICACIÓN TÉCNICA DE CONDUCTOR ALUMOWELD</t>
  </si>
  <si>
    <t>ESPECIFICACION DE MONTAJE ELECTROMECANICO</t>
  </si>
  <si>
    <t>ESPECIFICACIÓN TECNICA DE CABLES AISLADOS MT</t>
  </si>
  <si>
    <t>ESPECIFICACIÓN TÉCNICA DE CABLES DE CONTROL Y FUERZA BT</t>
  </si>
  <si>
    <t>ESPECIFICACIONES TECNICAS PARA LA ADQUISICIÓN DEL TRANSFORMADOR DE PUESTA A TIERRA</t>
  </si>
  <si>
    <t>ESPECIFICACIONES TECNICAS PARA LA ADQUISICIÓN DEL TRANSFORMADOR DE POTENCIA</t>
  </si>
  <si>
    <t>Presupueto</t>
  </si>
  <si>
    <t>ESPECIFICACIÓN TÉCNICAS CONDICIONES DE CONTRATACIÓN</t>
  </si>
  <si>
    <t>Especificación técnica de aisladores</t>
  </si>
  <si>
    <t>Memoria Cálculo Espectro Sísmico</t>
  </si>
  <si>
    <t>Memoria de cálculo Edificio gis y celdas</t>
  </si>
  <si>
    <t>MEMORIA DE CÁLCULO SISTEMA DE DRENAJE</t>
  </si>
  <si>
    <t>Memoria de cálculo de canalizaciones</t>
  </si>
  <si>
    <t>Memoria de calculo Vías internas</t>
  </si>
  <si>
    <t>Memoria de cálculo - Diseño estructural estructuras de soporte</t>
  </si>
  <si>
    <t>Memoria de cálculo de cimentación de equipos</t>
  </si>
  <si>
    <t>Memoria de calculo Cimentación servicios auxiliares</t>
  </si>
  <si>
    <t>Memoria de calculo Cimentación postes</t>
  </si>
  <si>
    <t>Memoria de calculo Cerramiento perimetral</t>
  </si>
  <si>
    <t>Memoria de calculo Tanque recolector de aceite</t>
  </si>
  <si>
    <t>Diseño  estructural cimentación  transformador de potencia</t>
  </si>
  <si>
    <t>Memoria de cálculo - Diseño estructural cimentación transformador de puesta a tierra</t>
  </si>
  <si>
    <t>Memoria de Cálculo de Muro Cortafuego</t>
  </si>
  <si>
    <t>Coordinación de Aislamiento</t>
  </si>
  <si>
    <t>CONCEPTOS FUNDAMENTALES</t>
  </si>
  <si>
    <t>MEMORIA DE CÁLCULO SELECCIÓN DEL TRANSFORMADOR DE POTENCIA Y TRANSFORMADOR ZIG-ZAG</t>
  </si>
  <si>
    <t>Memoria cables aislados 115kV</t>
  </si>
  <si>
    <t>Memoria cables aislados 35kV</t>
  </si>
  <si>
    <t>Memoria de barraje rigido</t>
  </si>
  <si>
    <t>Memoria seleción de conductor desnudo</t>
  </si>
  <si>
    <t>MEMORIA DE CALCULO SISTEMA DE APANTALLAMIENTO</t>
  </si>
  <si>
    <t>MEMORIA DE CALCULO DE LA MALLA DE PUESTA A TIERRA</t>
  </si>
  <si>
    <t>MEMORIA DE CALCULO DE INSTALACIONES ELECTRICAS Y ILUMINACION</t>
  </si>
  <si>
    <t>MEMORIA DE CALCULO DE SERVICIOS AUXILIARES</t>
  </si>
  <si>
    <t>MEMORIA DE CÁLCULO DE AIRE ACONDICIONADO</t>
  </si>
  <si>
    <t>MEMORIA SELECCIÓN DESCARGADORES DE SOBRE TENSIÓN</t>
  </si>
  <si>
    <t>MEMORIA SELECCIÓN AISLADORES</t>
  </si>
  <si>
    <t>Adecuación del terreno</t>
  </si>
  <si>
    <t>Sistema de drenaje</t>
  </si>
  <si>
    <t>Tanque colector de aceite</t>
  </si>
  <si>
    <t>Edificio de control</t>
  </si>
  <si>
    <t>Cimentacion reactor</t>
  </si>
  <si>
    <t>Cimentación de estructura soporte de cables reactor 5MVAR</t>
  </si>
  <si>
    <t>Cimentacion de foso transformador de potencia</t>
  </si>
  <si>
    <t>Cimentacion luminarias</t>
  </si>
  <si>
    <t>Cimentacion muro corta fuego</t>
  </si>
  <si>
    <t>Cerramiento perimetral</t>
  </si>
  <si>
    <t>Cimentación estructura soporte cable</t>
  </si>
  <si>
    <t>Cimentación seccionador 34.5Kv</t>
  </si>
  <si>
    <t>Cimentacion de foso tranformador PTA</t>
  </si>
  <si>
    <t>Cimentación terminal mufa 115kV</t>
  </si>
  <si>
    <t>Cimentacion planta de emergencia</t>
  </si>
  <si>
    <t>Modelo de equipos, celdas y tableros</t>
  </si>
  <si>
    <t>Modelo general de bandejas portacables y rutas de cables</t>
  </si>
  <si>
    <t>Modelo de sistemas SPT, APT Y EIE</t>
  </si>
  <si>
    <t>Listado de Planos</t>
  </si>
  <si>
    <t>Diagrama unifilar proyectado caracteristicas electricas</t>
  </si>
  <si>
    <t>Diagrama unifilar proyectado de medida</t>
  </si>
  <si>
    <t>Diagrama unifilar proyectado de control y protecciones</t>
  </si>
  <si>
    <t>Modelo</t>
  </si>
  <si>
    <t>ESPECIFICACIÓN TÉCNICA</t>
  </si>
  <si>
    <t>Ficha economica</t>
  </si>
  <si>
    <t>Especificación técnica celdas 115kV</t>
  </si>
  <si>
    <t>Ficha técnica económica celdas 115kV</t>
  </si>
  <si>
    <t>ESPECIFICACIÓN TÉCNICA DE CONDUCTOR DESNUDO</t>
  </si>
  <si>
    <t>ESPECIFICACIÓN TÉCNICA CABLE AISLADO MT</t>
  </si>
  <si>
    <t>EETT Cable aislado 115kV MT</t>
  </si>
  <si>
    <t>ESPECIFICADION TECNICA DE CONECTORES</t>
  </si>
  <si>
    <t>ESPECIFICACION TECNICA DE CUADRO SSAA</t>
  </si>
  <si>
    <t>FICHA ECONOMICA DE CUADRO SSAA</t>
  </si>
  <si>
    <t>FICHA ECONÓMICA DE ARMARIO DE RECTIFICADOR Y BANCO DE BATERÍAS</t>
  </si>
  <si>
    <t>ESPECIFICACIÓN TECNICA PLANTA ELECTRICA DE 150 kVA</t>
  </si>
  <si>
    <t>FICHA ECONÓMICA DE PLANTA ELECTRICA 150 kVA</t>
  </si>
  <si>
    <t>ESPECIFICACION TECNICA REACTOR 5 MVAR</t>
  </si>
  <si>
    <t>FICHA ECONOMICA REACTOR 5 MVAR</t>
  </si>
  <si>
    <t>ESPECIFICACIÓN TÉCNICA DE TRANSFORMADOR DE SERVICIOS AUXILIARES 150 kVA</t>
  </si>
  <si>
    <t>FICHA ECONÓMICA DE TRANSFORMADOR TPM 34.500/208-120 V 150 KVA</t>
  </si>
  <si>
    <t>Anexo II - Hojas de Registro de Calidad.7z</t>
  </si>
  <si>
    <t>Especificaciones Técnicas Obras Civiles</t>
  </si>
  <si>
    <t>Anexo III.pdf</t>
  </si>
  <si>
    <t>Anexo IV.pdf</t>
  </si>
  <si>
    <t>Anexo V.pdf</t>
  </si>
  <si>
    <t>Anexo VI.pdf</t>
  </si>
  <si>
    <t>Especificaciones Técnicas de Montaje</t>
  </si>
  <si>
    <t>Preciario OC</t>
  </si>
  <si>
    <t>Formulario de precios OC</t>
  </si>
  <si>
    <t>Preciario Electromecánico</t>
  </si>
  <si>
    <t>Condiciones de contratación de Obras Civiles</t>
  </si>
  <si>
    <t>ANEXO I.  Programa de Puntos de Inspección-UTP.pdf</t>
  </si>
  <si>
    <t>ANEXO II - IT.05219.ES-TI Directrices Mínimas de Medio Ambiente en Obra.pdf</t>
  </si>
  <si>
    <t>ANEXO III - PE.03534.ES-TI Gestión medioambiental en obras.pdf</t>
  </si>
  <si>
    <t>Anexo IV- IT.07743.PA-TI Direct. Mín.Gestión de Residuos en Obras.pdf</t>
  </si>
  <si>
    <t>Anexo IX - IT.10251_Directrices mínimas ambientales para Proyectos singulares AT.pdf</t>
  </si>
  <si>
    <t>Anexo V - NT.00109 Planificación Ambiental.pdf</t>
  </si>
  <si>
    <t>Anexo VI - PE.02092 ACTUACIÓN ANTE CONTINGENCIAS AMBIENTALES.pdf</t>
  </si>
  <si>
    <t>Anexo VII - NT.00113 CONTROL DE ASPECTOS AMBIENTALES.pdf</t>
  </si>
  <si>
    <t>Anexo VIII - P.E.00010 ACCIDENTES E INCIDENTES AMBIENTALES.pdf</t>
  </si>
  <si>
    <t>CONDICIONES ESPECÍFICAS DE CONTRATACIÓN</t>
  </si>
  <si>
    <t>Memoria de cálculo espectro sísmico</t>
  </si>
  <si>
    <t>Diseño de pavimento</t>
  </si>
  <si>
    <t>Diseño estructural cimentaciones Equipos de Patio (soportes de cables)</t>
  </si>
  <si>
    <t>Diseño estructural cimentación transformador de potencia</t>
  </si>
  <si>
    <t>Diseño estructural del Muro Cortafuego</t>
  </si>
  <si>
    <t>Diseño estructural tanque de aceite</t>
  </si>
  <si>
    <t>Diseño estructural cimentación transformador de servicios auxiliares</t>
  </si>
  <si>
    <t>Memoria de cálculo Cimentación Edificio Ultracompacto</t>
  </si>
  <si>
    <t>Diseño estructural cimentación postes</t>
  </si>
  <si>
    <t>Memoria de cálculo Cerramiento Perimetral</t>
  </si>
  <si>
    <t>Memoria de cálculo estructuras soportes de cables</t>
  </si>
  <si>
    <t>Memoria soporte de cables</t>
  </si>
  <si>
    <t>Estudio de coordinación de aislamiento</t>
  </si>
  <si>
    <t>Cálculo de cables aislados</t>
  </si>
  <si>
    <t>Selección de conductor desnudo</t>
  </si>
  <si>
    <t>Selección de aisladores</t>
  </si>
  <si>
    <t>Calculo de barraje rigido</t>
  </si>
  <si>
    <t>Apantallamiento de patio</t>
  </si>
  <si>
    <t>Apantallamiento de caseta</t>
  </si>
  <si>
    <t>Malla de puesta a tierra</t>
  </si>
  <si>
    <t>Memoria de Aire Acondicionado</t>
  </si>
  <si>
    <t>General de obras civiles</t>
  </si>
  <si>
    <t>Canalizaciones - Plano, planta, cortes y detalles</t>
  </si>
  <si>
    <t>Cimentación y estructura soporte cables 34,5 kV</t>
  </si>
  <si>
    <t>Cimentación foso contenedor para transformadores</t>
  </si>
  <si>
    <t>Muro cortafuego</t>
  </si>
  <si>
    <t>Tanque recolector de aceite - Plano, planta, cortes y detalles</t>
  </si>
  <si>
    <t>Cimentación edificio de control</t>
  </si>
  <si>
    <t>Cimentación y estructura soporte cables 4,16 kV</t>
  </si>
  <si>
    <t>Cimentación de postes</t>
  </si>
  <si>
    <t>Modelo coordinado</t>
  </si>
  <si>
    <t>ESTUDIO DE SEGURIDAD Y SALUD</t>
  </si>
  <si>
    <t>Anexos</t>
  </si>
  <si>
    <t>Especificaciones técnicas de los armarios de comunicaciones</t>
  </si>
  <si>
    <t>ARMARIOS DE COMUNICACIONES</t>
  </si>
  <si>
    <t>Preciario Armario De Comunicaciones</t>
  </si>
  <si>
    <t>Especificación técnica del armario de documentación</t>
  </si>
  <si>
    <t>ARMARIOS DE DOCUMENTACIÓN</t>
  </si>
  <si>
    <t>Preciario Armario De Documentacion</t>
  </si>
  <si>
    <t>Especificación técnica de armario de medición</t>
  </si>
  <si>
    <t>ARMARIOS DE MEDICIÓN</t>
  </si>
  <si>
    <t>Preciario Armario De Medicion</t>
  </si>
  <si>
    <t>Especificación técnica de la unidad de control integrado</t>
  </si>
  <si>
    <t>Ficha  de la unidad de control integrado</t>
  </si>
  <si>
    <t>Preciario de la unidad de control integrado</t>
  </si>
  <si>
    <t>Especificaciones Técnicas para celdas MT 4.16 kV</t>
  </si>
  <si>
    <t>Ficha técnica celdas 4.16 kV</t>
  </si>
  <si>
    <t>Preciario Celdas 4.16 kV</t>
  </si>
  <si>
    <t>Especificaciones Técnicas para celdas MT 34.5 kV</t>
  </si>
  <si>
    <t>Ficha técnica celdas 34.5 kV</t>
  </si>
  <si>
    <t>Preciario Celdas 34.5 kV</t>
  </si>
  <si>
    <t>Especificación Técnica de armario de servicios auxiliares</t>
  </si>
  <si>
    <t>Armarios de servicios auxiliares</t>
  </si>
  <si>
    <t>PRECIARIO DE CUADRO DE SSAA</t>
  </si>
  <si>
    <t>ET EDIFICIO DE CELDAS</t>
  </si>
  <si>
    <t>Preciario Edificio Ultracompacto</t>
  </si>
  <si>
    <t>Cable aislado MT</t>
  </si>
  <si>
    <t>ET Montaje electromecanico</t>
  </si>
  <si>
    <t>Conductor desnudo</t>
  </si>
  <si>
    <t>Conductor de puesta a tierra</t>
  </si>
  <si>
    <t>Conductor Alumoweld</t>
  </si>
  <si>
    <t>Conectores</t>
  </si>
  <si>
    <t>Herrajes y accesorios</t>
  </si>
  <si>
    <t>Varilla de puesta a tierra</t>
  </si>
  <si>
    <t>Aisladores</t>
  </si>
  <si>
    <t>Especificación Técnica de Elementos del Sistema de Apantallamiento (Punta Franklin)</t>
  </si>
  <si>
    <t>Especificación Técnica de Cables de Control y Fuerza BT</t>
  </si>
  <si>
    <t>Especificaciones Técnicas Postes de Hormigon</t>
  </si>
  <si>
    <t>Conductores de aluminio desnudo</t>
  </si>
  <si>
    <t>Conductor de Puesta a Tierra</t>
  </si>
  <si>
    <t>Elementos del sistema de apantallamiento (punta franklin)</t>
  </si>
  <si>
    <t>CABLES DE CONTROL Y FUERZA BT</t>
  </si>
  <si>
    <t>ESPECIFICACIONES TECNICAS DE ARMARIO DE CCTV Y CONTROL DE ACCESO</t>
  </si>
  <si>
    <t>FICHA TÉCNICA DE ARMARIO DE CCTV Y CONTROL DE ACCESO</t>
  </si>
  <si>
    <t>FICHA ECONÓMICA DE TABLERO DE CCTV Y CONTROL DE ACCESO</t>
  </si>
  <si>
    <t>Especificacion Rectificador de bateria</t>
  </si>
  <si>
    <t>Ficha  tecnica Rectificador de bateria</t>
  </si>
  <si>
    <t>Presupuesto Rectificador de bateria</t>
  </si>
  <si>
    <t>Especificaciones Técnicas transformador de potencia</t>
  </si>
  <si>
    <t>Ficha técnica transformador de potencia</t>
  </si>
  <si>
    <t>Preciario Transformador de Potencia</t>
  </si>
  <si>
    <t>Especificación Técnica de transformador de servicios auxiliares 150 kVA</t>
  </si>
  <si>
    <t>Transformador 150 kVA tipo pad mounted</t>
  </si>
  <si>
    <t>Preciario Transformador de 150 kVA</t>
  </si>
  <si>
    <t>San Francisco Metalclad(SE)</t>
  </si>
  <si>
    <t>Ingeniería Básica</t>
  </si>
  <si>
    <t>Estudio de suelos</t>
  </si>
  <si>
    <t>Informe Levantamiento topográfico</t>
  </si>
  <si>
    <t>Informe de visita</t>
  </si>
  <si>
    <t>Plano topográfico</t>
  </si>
  <si>
    <t>Nube de puntos</t>
  </si>
  <si>
    <t>Criterios de diseño electromecánico</t>
  </si>
  <si>
    <t>Presupuesto electromecánico</t>
  </si>
  <si>
    <t>Modelo general OC</t>
  </si>
  <si>
    <t>Modelo general ME</t>
  </si>
  <si>
    <t>Conceptos Fundamentales</t>
  </si>
  <si>
    <t>DISTANCIAS ELÉCTRICAS Y DE SEGURIDAD</t>
  </si>
  <si>
    <t>ESTUDIO DE COORDINACION DE AISLAMIENTO</t>
  </si>
  <si>
    <t>SEGUIMIENTO SEMANAL — EQUIPO LÍNEAS DE TRANSMISIÓN  ·  Semana en curso</t>
  </si>
  <si>
    <t>Colaborador</t>
  </si>
  <si>
    <t xml:space="preserve">Rol </t>
  </si>
  <si>
    <t xml:space="preserve">Proyecto </t>
  </si>
  <si>
    <t xml:space="preserve">Cliente </t>
  </si>
  <si>
    <t>Actividad a realizar</t>
  </si>
  <si>
    <t xml:space="preserve">Fecha de inicio </t>
  </si>
  <si>
    <t xml:space="preserve">Fecha fin </t>
  </si>
  <si>
    <t>Observación</t>
  </si>
  <si>
    <t xml:space="preserve">Lunes </t>
  </si>
  <si>
    <t xml:space="preserve">Jose Fabian Pacheco </t>
  </si>
  <si>
    <t xml:space="preserve">Especialista obra civil </t>
  </si>
  <si>
    <t>LAT Justo Arosemena</t>
  </si>
  <si>
    <t xml:space="preserve">Naturgy </t>
  </si>
  <si>
    <t xml:space="preserve">Memoria cámaras de Halado </t>
  </si>
  <si>
    <t>Finalizada</t>
  </si>
  <si>
    <t xml:space="preserve">Martes </t>
  </si>
  <si>
    <t>LAT chorrera</t>
  </si>
  <si>
    <t>Memoria cámaras de empalme -chorrera</t>
  </si>
  <si>
    <t xml:space="preserve">Miercoles </t>
  </si>
  <si>
    <t xml:space="preserve">LAT Llano Sanchez </t>
  </si>
  <si>
    <t xml:space="preserve">Ajuste de EETT PHD </t>
  </si>
  <si>
    <t>Pausada</t>
  </si>
  <si>
    <t>Falta tabla de distancia entre tramos de PHD</t>
  </si>
  <si>
    <t>Jueves</t>
  </si>
  <si>
    <t>Memoria de canalización</t>
  </si>
  <si>
    <t>falta la distancia de viga ducto y de la cantidad de PHD</t>
  </si>
  <si>
    <t>Viernes</t>
  </si>
  <si>
    <t xml:space="preserve">Memoria cámaras de empalme </t>
  </si>
  <si>
    <t xml:space="preserve">Jonatan Viloria </t>
  </si>
  <si>
    <t xml:space="preserve">S.E Loceria Ampliación </t>
  </si>
  <si>
    <t>Compensatorio jurado votación</t>
  </si>
  <si>
    <t>Diseño estructuras seccionador Loceria (pendiente ficha de equipo)</t>
  </si>
  <si>
    <t>Memorias de calculo estructuras soportes</t>
  </si>
  <si>
    <t>Actualización llano sanchez plantillado (Memoria)</t>
  </si>
  <si>
    <t>Actualización llanos snchaes estructuras (Planos y memoria)</t>
  </si>
  <si>
    <t xml:space="preserve">Jose vicente Garcia </t>
  </si>
  <si>
    <t xml:space="preserve">Dibujante OC </t>
  </si>
  <si>
    <t xml:space="preserve">Estructura Soporte Terminal </t>
  </si>
  <si>
    <t>Actualización planos, planta, planta perfil, arboles de carga</t>
  </si>
  <si>
    <t xml:space="preserve">Hernando Hernandez </t>
  </si>
  <si>
    <t>Proyectos Naturgy</t>
  </si>
  <si>
    <t xml:space="preserve">Revisión de modelos en ACC </t>
  </si>
  <si>
    <t xml:space="preserve">Leo Tekken </t>
  </si>
  <si>
    <t>SE LIBERTADOR - SE EL LAGO</t>
  </si>
  <si>
    <t>AFININIA</t>
  </si>
  <si>
    <t>Comentarios SE Libertador</t>
  </si>
  <si>
    <t>Revision topografia SE El Lago</t>
  </si>
  <si>
    <t>Presentacion topografia SE El Lago</t>
  </si>
  <si>
    <t xml:space="preserve">Modelador BIM </t>
  </si>
  <si>
    <t>LAT chorrera, LAT Santiago II</t>
  </si>
  <si>
    <t>Plano Georadar LAT Chorrera</t>
  </si>
  <si>
    <t>Plano Georadar LAT Chorrera, LAT Santiago II</t>
  </si>
  <si>
    <t>Se pauso LAT Chorrera, se continua con LAT Santiago II</t>
  </si>
  <si>
    <t>Plano Georadar LAT Santiago II</t>
  </si>
  <si>
    <t xml:space="preserve">Alejandro Daza </t>
  </si>
  <si>
    <t>Ajuste de diseño</t>
  </si>
  <si>
    <t xml:space="preserve">Orlando Angulo </t>
  </si>
  <si>
    <t>Realización plano detalla estructura soporte SE</t>
  </si>
  <si>
    <t>Sebastian Barros</t>
  </si>
  <si>
    <t>Practicante ME</t>
  </si>
  <si>
    <t>Determinación de cantidades</t>
  </si>
  <si>
    <t>Apoyo en tareas Angelica</t>
  </si>
  <si>
    <t>Angelica Ruiz</t>
  </si>
  <si>
    <t>Analista de diseños ME</t>
  </si>
  <si>
    <t>Ajuste y validación de mallas de puesta a tierra</t>
  </si>
  <si>
    <t>Licencia del programa no funciono</t>
  </si>
  <si>
    <t>Edwin Galindo</t>
  </si>
  <si>
    <t>Coordinador Electromecanico</t>
  </si>
  <si>
    <t xml:space="preserve">ADT6, LAT Justo Arosemena, LAT Chorrera </t>
  </si>
  <si>
    <t xml:space="preserve">AFINIA, NATURGY </t>
  </si>
  <si>
    <t xml:space="preserve">SEGUIIMIENTO LAT ADT6: 
SEGUIIMIENTO LAT NATURGY:
</t>
  </si>
  <si>
    <t xml:space="preserve">Óscar Lozano </t>
  </si>
  <si>
    <t xml:space="preserve">Lider Civil </t>
  </si>
  <si>
    <t>LAT ADT6: Reunión de seguimiento del proyecto, seguimiento comentarios estudio de suelos.
LAT NATURGY: Ajuste EETT OC, seguimiento rediseño Justo Arosemena, atención comentarios Chorrera.
Subestaciones: realización metodóloga de trabajo equipo civil</t>
  </si>
  <si>
    <t>SEGUIMIENTO SEMANAL — EQUIPO LÍNEAS DE TRANSMISIÓN  ·  Semana proyectada</t>
  </si>
  <si>
    <t>LN - SE - Turbaco</t>
  </si>
  <si>
    <t>Atención a comentarios del ADT6  Planos de la Línea</t>
  </si>
  <si>
    <t>Planos Armados Tramo Aéreo</t>
  </si>
  <si>
    <t>Planos Armados Tramo Subterraneo</t>
  </si>
  <si>
    <t>ADT6</t>
  </si>
  <si>
    <t>AFINIA</t>
  </si>
  <si>
    <t>Atención a comentarios del ADT6 cimentaciones</t>
  </si>
  <si>
    <t>Analisis de presupuesto</t>
  </si>
  <si>
    <t>REGISTRO DE PRODUCTIVIDAD — SUBESTACIONES   (una fila por entregable · persona · día)</t>
  </si>
  <si>
    <t>Entregable</t>
  </si>
  <si>
    <t>Fecha</t>
  </si>
  <si>
    <t>Día</t>
  </si>
  <si>
    <t>Horas</t>
  </si>
  <si>
    <t>Jonatan Viloria</t>
  </si>
  <si>
    <t>Diseño estructuras seccionador Loceria</t>
  </si>
  <si>
    <t>Memorias de cálculo estructuras soportes</t>
  </si>
  <si>
    <t>Actualización Llano Sánchez plantillado</t>
  </si>
  <si>
    <t>Actualización Llanos Sánchez estructuras (planos y memoria)</t>
  </si>
  <si>
    <t>💵 FINANCIERO POR PROYECTO — Actualizar valores cotizado y facturado en USD</t>
  </si>
  <si>
    <t>Estado_Proyecto</t>
  </si>
  <si>
    <t>Pct_Avance_Actual</t>
  </si>
  <si>
    <t>Valor_Cotizado_USD</t>
  </si>
  <si>
    <t>Valor_Facturado_USD</t>
  </si>
  <si>
    <t>Por_Facturar_USD</t>
  </si>
  <si>
    <t>Pct_Facturado</t>
  </si>
  <si>
    <t>En curso</t>
  </si>
  <si>
    <t>Avance significativo</t>
  </si>
  <si>
    <t>poco avance</t>
  </si>
  <si>
    <t>Conexión Bahía SE Llano Sánchez</t>
  </si>
  <si>
    <t>Depende de ETESA</t>
  </si>
  <si>
    <t>Visita con Naturgy y ETESA</t>
  </si>
  <si>
    <t>Aprobacion ETESA</t>
  </si>
  <si>
    <t>Avance parcial</t>
  </si>
  <si>
    <t>Entregado por aprobar</t>
  </si>
  <si>
    <t>definicion de ruta variante</t>
  </si>
  <si>
    <t>Cerrado</t>
  </si>
  <si>
    <t>LAT Divisa-La Arena (Levantamiento)</t>
  </si>
  <si>
    <t>🗓️ CRONOGRAMA E HITOS — Sincronizado con MS Project</t>
  </si>
  <si>
    <t>Hito</t>
  </si>
  <si>
    <t>Inicio_Planificado</t>
  </si>
  <si>
    <t>Final_Planificado</t>
  </si>
  <si>
    <t>Duracion_Dias</t>
  </si>
  <si>
    <t>Pct_Completado_MSP</t>
  </si>
  <si>
    <t>Fecha_HDP</t>
  </si>
  <si>
    <t>Estado_Hito</t>
  </si>
  <si>
    <t>Comentarios</t>
  </si>
  <si>
    <t>Condicion</t>
  </si>
  <si>
    <t>Obras Civiles - Finalizada</t>
  </si>
  <si>
    <t>END</t>
  </si>
  <si>
    <t>Montaje Electromecánico - Finalizado</t>
  </si>
  <si>
    <t>Ingeniería Básica entregada en V0.0</t>
  </si>
  <si>
    <t>Ingeniería Básica entregada en Versión Final</t>
  </si>
  <si>
    <t>Ingeniería Básica - Aprobada</t>
  </si>
  <si>
    <t>Elaboración de Documentación - Finalizada</t>
  </si>
  <si>
    <t>Elaboración de Planos - Finalizado</t>
  </si>
  <si>
    <t>Memorias de Calculo - Finalizadas</t>
  </si>
  <si>
    <t>Presupuesto - Finalizado</t>
  </si>
  <si>
    <t>Especificaciones Técnicas - Finalizadas</t>
  </si>
  <si>
    <t>Fichas Técnicas - Finalizadas</t>
  </si>
  <si>
    <t>Elaboración de Planos - Finalizada</t>
  </si>
  <si>
    <t>Estructura Metálica - Finalizada</t>
  </si>
  <si>
    <t>Ingeniería Detallada entregada en V0.0</t>
  </si>
  <si>
    <t>Ingeniería Detallada entregada en Versión Final</t>
  </si>
  <si>
    <t>Ingeniería Detallada - Aprobada</t>
  </si>
  <si>
    <t>Ampliación Subestación JDA - Finalizada</t>
  </si>
  <si>
    <t>Preliminares Oferta &amp; Consignación- Finalizados</t>
  </si>
  <si>
    <t>Entrega del Informe de Levantamiento V0.0</t>
  </si>
  <si>
    <t>Entrega del informe de Levantamiento ajustado V0.1</t>
  </si>
  <si>
    <t>Informe de Levantamiento topografico-Finalizado</t>
  </si>
  <si>
    <t>Entrega del Informe de estudio de suelos V0.0</t>
  </si>
  <si>
    <t>Entrega del informe del Estudio de suelos V0.1</t>
  </si>
  <si>
    <t>Informe de Estudio de suelo-Finalizado</t>
  </si>
  <si>
    <t>Entrega del Informe de Levantamiento por Georradar V0.0</t>
  </si>
  <si>
    <t>Entrega del Informe de Levantamiento por Georradar-Finalizado</t>
  </si>
  <si>
    <t>Entrega de Ingeniería detalla V0.0</t>
  </si>
  <si>
    <t>Entrega de Ingeniería detalla V0.1</t>
  </si>
  <si>
    <t>Entrega de Ingeniería detalla- Finalizada</t>
  </si>
  <si>
    <t>Ingeniería de Detallada Aprobada</t>
  </si>
  <si>
    <t>Activo</t>
  </si>
  <si>
    <t>Fin del montaje electromecánico</t>
  </si>
  <si>
    <t>Por Iniciar</t>
  </si>
  <si>
    <t>Fin de obras civiles</t>
  </si>
  <si>
    <t>Entrega de la Ingeniería Detallada</t>
  </si>
  <si>
    <t>Entregada Subestación Santiago 2</t>
  </si>
  <si>
    <t>HDP</t>
  </si>
  <si>
    <t>EIR</t>
  </si>
  <si>
    <t>Revisión</t>
  </si>
  <si>
    <t>Revisión obras civiles</t>
  </si>
  <si>
    <t>Entrega de Subestación Loceria-Celdas</t>
  </si>
  <si>
    <t>Acta de inicio</t>
  </si>
  <si>
    <t>Solicitud de información</t>
  </si>
  <si>
    <t>Flujo de Revisión electromecánico</t>
  </si>
  <si>
    <t>Revisión interna</t>
  </si>
  <si>
    <t>Revisión de entregables</t>
  </si>
  <si>
    <t>Envío de Flujos a Naturgy</t>
  </si>
  <si>
    <t>Flujo de Revisión OC</t>
  </si>
  <si>
    <t>Revisión de entregables OC</t>
  </si>
  <si>
    <t>Entrega de LN Santiago</t>
  </si>
  <si>
    <t>Subcontratos</t>
  </si>
  <si>
    <t>Informe levantamiento topográfico</t>
  </si>
  <si>
    <t>Finalización de montaje</t>
  </si>
  <si>
    <t>Finalización OC</t>
  </si>
  <si>
    <t>Entrega de Subestación Almirante</t>
  </si>
  <si>
    <t>Entrega de LN</t>
  </si>
  <si>
    <t>Formalización de HDP</t>
  </si>
  <si>
    <t>Estudios Previos</t>
  </si>
  <si>
    <t>Documento BIM - General</t>
  </si>
  <si>
    <t>Ingeniería Basica</t>
  </si>
  <si>
    <t>Ingeniería Detallada</t>
  </si>
  <si>
    <t>Cronograma Ampliacion SE Loceria 26-02-2026</t>
  </si>
  <si>
    <t>Información de entrada Naturgy</t>
  </si>
  <si>
    <t>Documento BIM</t>
  </si>
  <si>
    <t>Paquete Electromecánico</t>
  </si>
  <si>
    <t>Obras Civiles</t>
  </si>
  <si>
    <t>LAT DIVISA LA ARENA LEVANTAMIENTO TOPOGRAFICO</t>
  </si>
  <si>
    <t>Hoja de datos de partida de la Subestación - HDP</t>
  </si>
  <si>
    <t>Información técnica del cliente</t>
  </si>
  <si>
    <t>Visita Técnica</t>
  </si>
  <si>
    <t>Elaboración de Ingeniería Básica</t>
  </si>
  <si>
    <t>Elaboración de Ingeniería Detallada</t>
  </si>
  <si>
    <t>Reemplazo T1 y T4 Subestación Santiago 115/34.5 Kv - Finalizada</t>
  </si>
  <si>
    <t>📈 PLAN DE CURVA S — % Avance Planificado por proyecto y semana</t>
  </si>
  <si>
    <t>Fecha_Corte</t>
  </si>
  <si>
    <t>Pct_Avance_Planificado</t>
  </si>
  <si>
    <t xml:space="preserve">📊 AVANCE REAL — % avance real ejecutado por proyecto y fecha </t>
  </si>
  <si>
    <t>Pct_Avance_Real</t>
  </si>
  <si>
    <t>Observacion</t>
  </si>
  <si>
    <t>📋 CATÁLOGO DE PROYECTOS — Edita aquí cuando entren nuevos proyectos</t>
  </si>
  <si>
    <t>ID_Proyecto</t>
  </si>
  <si>
    <t>Nombre_Corto</t>
  </si>
  <si>
    <t>% Avance (auto)</t>
  </si>
  <si>
    <t>P001</t>
  </si>
  <si>
    <t>Línea AT</t>
  </si>
  <si>
    <t>P002</t>
  </si>
  <si>
    <t>P003</t>
  </si>
  <si>
    <t>P004</t>
  </si>
  <si>
    <t>P005</t>
  </si>
  <si>
    <t>P006</t>
  </si>
  <si>
    <t>P007</t>
  </si>
  <si>
    <t>Subestación</t>
  </si>
  <si>
    <t>P008</t>
  </si>
  <si>
    <t>P009</t>
  </si>
  <si>
    <t>P010</t>
  </si>
  <si>
    <t>P011</t>
  </si>
  <si>
    <t>P012</t>
  </si>
  <si>
    <t>P013</t>
  </si>
  <si>
    <t>P014</t>
  </si>
  <si>
    <t>P015</t>
  </si>
  <si>
    <t>P016</t>
  </si>
  <si>
    <t>👥 CATÁLOGO DE COLABORADORES — Para que el rol se llene solo en las hojas semanales</t>
  </si>
  <si>
    <t>ID_Colaborador</t>
  </si>
  <si>
    <t>Nombre</t>
  </si>
  <si>
    <t>Rol</t>
  </si>
  <si>
    <t>Alejandro Daza</t>
  </si>
  <si>
    <t>Modelador BIM</t>
  </si>
  <si>
    <t>Hernando Hernandez</t>
  </si>
  <si>
    <t>Dibujante OC</t>
  </si>
  <si>
    <t>Especialista obra civil</t>
  </si>
  <si>
    <t>Jose vicente Garcia</t>
  </si>
  <si>
    <t>Leo Tekken</t>
  </si>
  <si>
    <t>Orlando Angulo</t>
  </si>
  <si>
    <t>Óscar Lozano</t>
  </si>
  <si>
    <t>Lider Civil</t>
  </si>
  <si>
    <t xml:space="preserve">Estudios Previos </t>
  </si>
  <si>
    <t xml:space="preserve">Estado  de la Ingenieria </t>
  </si>
  <si>
    <t xml:space="preserve">Fecha de entrega </t>
  </si>
  <si>
    <t xml:space="preserve">Rediseño LAT Justo Arosemena </t>
  </si>
  <si>
    <t xml:space="preserve">Topografia (Aprobado por el cliente)  </t>
  </si>
  <si>
    <t xml:space="preserve">Georradar (Enviado) </t>
  </si>
  <si>
    <t xml:space="preserve"> En ejecución, con los cambios solicitados por el cliente, esperamos entregar antes </t>
  </si>
  <si>
    <t xml:space="preserve">LAT Chorrera- El torno </t>
  </si>
  <si>
    <t xml:space="preserve">Topografia </t>
  </si>
  <si>
    <t xml:space="preserve">Georradar </t>
  </si>
  <si>
    <t xml:space="preserve">Entregado, en atención de comentarios con base en la capacidad de mano de obra que contamos </t>
  </si>
  <si>
    <t xml:space="preserve">Georradar(03/032026) </t>
  </si>
  <si>
    <t>Se enviara correo solicitando aclaraciones sobre el trazado propuesto, con el fin de evitar posibles reprocesos futuros por parte del cliente</t>
  </si>
  <si>
    <t xml:space="preserve">Por definir </t>
  </si>
  <si>
    <t>LAT Floresta- Panamá III</t>
  </si>
  <si>
    <t xml:space="preserve">Topografia (Pendiente de revisión interna por parte de Alejandro Daza) </t>
  </si>
  <si>
    <t xml:space="preserve">Georradar (Camilo Galvez, 09/03/2026)  </t>
  </si>
  <si>
    <t xml:space="preserve">El cliente aprobo el estudio de traza, falta la aprobación por parte del cliente para el inicio de ingenieria de detalle </t>
  </si>
  <si>
    <t xml:space="preserve">LAT Santiago </t>
  </si>
  <si>
    <t>Topografia</t>
  </si>
  <si>
    <t>Georradar (En Pausa)</t>
  </si>
  <si>
    <t>En el estudio de traza inicial se contemplo el proyecto subterraneo, sin embargo el cliente solicito qu el proyecto se realizara de manera aerea, sin embargo seria prudente socializar con NATURGY, sobre el trazado propuesto, con el fin de evitar posibles reprocesos futuros por parte del cliente</t>
  </si>
  <si>
    <t xml:space="preserve">LAT El Coco II </t>
  </si>
  <si>
    <t xml:space="preserve">NO APLICA </t>
  </si>
  <si>
    <t xml:space="preserve">Se realizara con base en las prioridades del cliente y la mano de obra instalada que tenemos </t>
  </si>
  <si>
    <t>FECHA SEMANA ACTUAL</t>
  </si>
  <si>
    <t>FECHA SEMANA PROYECTADA</t>
  </si>
  <si>
    <t>Total</t>
  </si>
  <si>
    <t>Rechazados</t>
  </si>
  <si>
    <t>% Rechazados</t>
  </si>
  <si>
    <t>Aprobados</t>
  </si>
  <si>
    <t>% Aprobados</t>
  </si>
  <si>
    <t>% En revisión</t>
  </si>
  <si>
    <t>% En proceso</t>
  </si>
  <si>
    <t>Atención comentarios</t>
  </si>
  <si>
    <t>% Atención comentarios</t>
  </si>
  <si>
    <t>Índice ponderado</t>
  </si>
  <si>
    <t>Llanos Sanchez-Pocrí</t>
  </si>
  <si>
    <t>Panamá III- La Floresta</t>
  </si>
  <si>
    <t>El Coco II</t>
  </si>
  <si>
    <t>Proyecto:</t>
  </si>
  <si>
    <t>Documentos</t>
  </si>
  <si>
    <t>Días Promedio</t>
  </si>
  <si>
    <t>0-7 días</t>
  </si>
  <si>
    <t>8-14 días</t>
  </si>
  <si>
    <t>15-30 días</t>
  </si>
  <si>
    <t>31-60 días</t>
  </si>
  <si>
    <t>61+ días</t>
  </si>
  <si>
    <t>RECHAZADO</t>
  </si>
  <si>
    <t>APROBADO</t>
  </si>
  <si>
    <t>EN REVISIÓN</t>
  </si>
  <si>
    <t>ATENCIÓN DE COMENTARIOS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</si>
</sst>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yyyy\-mm\-dd\ h:mm:ss"/>
    <numFmt numFmtId="166" formatCode="m/d/yyyy"/>
    <numFmt numFmtId="167" formatCode="0.0"/>
    <numFmt numFmtId="168" formatCode="0.0%"/>
    <numFmt numFmtId="169" formatCode="\$#,##0.00"/>
  </numFmts>
  <fonts count="48">
    <font>
      <sz val="11"/>
      <color theme="1"/>
      <name val="Calibri"/>
      <family val="2"/>
      <charset val="1"/>
    </font>
    <font>
      <b/>
      <sz val="11"/>
      <color theme="3" tint="0.49958800012207405"/>
      <name val="Calibri"/>
      <family val="2"/>
      <charset val="1"/>
    </font>
    <font>
      <sz val="10"/>
      <color theme="1"/>
      <name val="Calibri"/>
      <family val="2"/>
      <charset val="1"/>
    </font>
    <font>
      <b/>
      <sz val="18"/>
      <color theme="3"/>
      <name val="Calibri Light"/>
      <family val="2"/>
      <charset val="1"/>
    </font>
    <font>
      <b/>
      <sz val="16"/>
      <color rgb="FFFFFFFF"/>
      <name val="Arial"/>
      <family val="2"/>
      <charset val="1"/>
    </font>
    <font>
      <i/>
      <sz val="11"/>
      <color rgb="FF666666"/>
      <name val="Arial"/>
      <family val="2"/>
      <charset val="1"/>
    </font>
    <font>
      <b/>
      <sz val="13"/>
      <color rgb="FFFFFFFF"/>
      <name val="Arial"/>
      <family val="2"/>
      <charset val="1"/>
    </font>
    <font>
      <i/>
      <sz val="10"/>
      <color rgb="FF555555"/>
      <name val="Arial"/>
      <family val="2"/>
      <charset val="1"/>
    </font>
    <font>
      <b/>
      <sz val="10"/>
      <color rgb="FFFFFFFF"/>
      <name val="Arial"/>
      <family val="2"/>
      <charset val="1"/>
    </font>
    <font>
      <b/>
      <sz val="11"/>
      <color rgb="FF000000"/>
      <name val="Arial"/>
      <family val="2"/>
      <charset val="1"/>
    </font>
    <font>
      <sz val="10"/>
      <name val="Arial"/>
      <family val="2"/>
      <charset val="1"/>
    </font>
    <font>
      <b/>
      <sz val="10"/>
      <color rgb="FF274E13"/>
      <name val="Arial"/>
      <family val="2"/>
      <charset val="1"/>
    </font>
    <font>
      <b/>
      <sz val="10"/>
      <color rgb="FFC00000"/>
      <name val="Arial"/>
      <family val="2"/>
      <charset val="1"/>
    </font>
    <font>
      <b/>
      <sz val="10"/>
      <color rgb="FF666666"/>
      <name val="Arial"/>
      <family val="2"/>
      <charset val="1"/>
    </font>
    <font>
      <b/>
      <sz val="10"/>
      <color rgb="FF1F4E79"/>
      <name val="Arial"/>
      <family val="2"/>
      <charset val="1"/>
    </font>
    <font>
      <i/>
      <sz val="9"/>
      <color rgb="FF555555"/>
      <name val="Arial"/>
      <family val="2"/>
      <charset val="1"/>
    </font>
    <font>
      <b/>
      <sz val="9"/>
      <color rgb="FF1F4E79"/>
      <name val="Arial"/>
      <family val="2"/>
      <charset val="1"/>
    </font>
    <font>
      <b/>
      <sz val="14"/>
      <name val="Arial"/>
      <family val="2"/>
      <charset val="1"/>
    </font>
    <font>
      <b/>
      <sz val="11"/>
      <color rgb="FF1F4E79"/>
      <name val="Arial"/>
      <family val="2"/>
      <charset val="1"/>
    </font>
    <font>
      <b/>
      <sz val="11"/>
      <color rgb="FFFFFFFF"/>
      <name val="Arial"/>
      <family val="2"/>
      <charset val="1"/>
    </font>
    <font>
      <sz val="11"/>
      <name val="Cambria"/>
      <family val="1"/>
      <charset val="1"/>
    </font>
    <font>
      <b/>
      <sz val="18"/>
      <color rgb="FFFFFFFF"/>
      <name val="Arial"/>
      <family val="2"/>
      <charset val="1"/>
    </font>
    <font>
      <b/>
      <sz val="12"/>
      <color rgb="FF002B49"/>
      <name val="Arial"/>
      <family val="2"/>
      <charset val="1"/>
    </font>
    <font>
      <i/>
      <sz val="9"/>
      <color rgb="FF888888"/>
      <name val="Arial"/>
      <family val="2"/>
      <charset val="1"/>
    </font>
    <font>
      <sz val="11"/>
      <name val="Arial"/>
      <family val="2"/>
      <charset val="1"/>
    </font>
    <font>
      <u/>
      <sz val="11"/>
      <name val="Arial"/>
      <family val="2"/>
      <charset val="1"/>
    </font>
    <font>
      <u/>
      <sz val="11"/>
      <name val="Cambria"/>
      <family val="1"/>
      <charset val="1"/>
    </font>
    <font>
      <sz val="10"/>
      <color rgb="FF555555"/>
      <name val="Arial"/>
      <family val="2"/>
      <charset val="1"/>
    </font>
    <font>
      <b/>
      <sz val="10"/>
      <name val="Arial"/>
      <family val="2"/>
      <charset val="1"/>
    </font>
    <font>
      <sz val="10"/>
      <name val="Arial"/>
      <family val="2"/>
    </font>
    <font>
      <b/>
      <sz val="12"/>
      <color rgb="FFFFFFFF"/>
      <name val="Calibri"/>
      <charset val="1"/>
    </font>
    <font>
      <b/>
      <sz val="10"/>
      <color rgb="FFFFFFFF"/>
      <name val="Calibri"/>
      <charset val="1"/>
    </font>
    <font>
      <b/>
      <sz val="10"/>
      <color rgb="FF1F4E79"/>
      <name val="Calibri"/>
      <charset val="1"/>
    </font>
    <font>
      <sz val="10"/>
      <color rgb="FF333333"/>
      <name val="Calibri"/>
      <charset val="1"/>
    </font>
    <font>
      <b/>
      <sz val="10"/>
      <color rgb="FF8A4500"/>
      <name val="Calibri"/>
      <charset val="1"/>
    </font>
    <font>
      <b/>
      <sz val="11"/>
      <color rgb="FFFFFFFF"/>
      <name val="Calibri"/>
      <charset val="1"/>
    </font>
    <font>
      <b/>
      <sz val="11"/>
      <color theme="1"/>
      <name val="Calibri"/>
      <family val="2"/>
      <charset val="1"/>
    </font>
    <font>
      <sz val="11"/>
      <color rgb="FF242424"/>
      <name val="Aptos Narrow"/>
      <family val="2"/>
      <charset val="1"/>
    </font>
    <font>
      <sz val="11"/>
      <color rgb="FF000000"/>
      <name val="Calibri"/>
      <family val="2"/>
      <charset val="1"/>
    </font>
    <font>
      <sz val="11"/>
      <color rgb="FF000000"/>
      <name val="Aptos Narrow"/>
      <family val="2"/>
      <charset val="1"/>
    </font>
    <font>
      <b/>
      <sz val="12"/>
      <color rgb="FFFFFFFF"/>
      <name val="Calibri"/>
      <family val="2"/>
      <charset val="1"/>
    </font>
    <font>
      <b/>
      <sz val="10"/>
      <color rgb="FFFFFFFF"/>
      <name val="Calibri"/>
      <family val="2"/>
      <charset val="1"/>
    </font>
    <font>
      <b/>
      <sz val="10"/>
      <color rgb="FF8A4500"/>
      <name val="Calibri"/>
      <family val="2"/>
      <charset val="1"/>
    </font>
    <font>
      <sz val="10"/>
      <color rgb="FF333333"/>
      <name val="Calibri"/>
      <family val="2"/>
      <charset val="1"/>
    </font>
    <font>
      <b/>
      <sz val="10"/>
      <color rgb="FF1F4E79"/>
      <name val="Calibri"/>
      <family val="2"/>
      <charset val="1"/>
    </font>
    <font>
      <b/>
      <sz val="10"/>
      <color rgb="FFC00000"/>
      <name val="Calibri"/>
      <family val="2"/>
      <charset val="1"/>
    </font>
    <font>
      <b/>
      <sz val="11"/>
      <color rgb="FF000000"/>
      <name val="Calibri"/>
      <family val="2"/>
      <charset val="1"/>
    </font>
    <font>
      <sz val="11"/>
      <name val="Calibri"/>
      <family val="2"/>
      <charset val="1"/>
    </font>
  </fonts>
  <fills count="22">
    <fill>
      <patternFill patternType="none"/>
    </fill>
    <fill>
      <patternFill patternType="gray125"/>
    </fill>
    <fill>
      <patternFill patternType="solid">
        <fgColor theme="2" tint="-4.9989318521683403E-2"/>
        <bgColor rgb="FFDCDCDC"/>
      </patternFill>
    </fill>
    <fill>
      <patternFill patternType="solid">
        <fgColor rgb="FF003E7E"/>
        <bgColor rgb="FF1F4E79"/>
      </patternFill>
    </fill>
    <fill>
      <patternFill patternType="solid">
        <fgColor rgb="FFEE7202"/>
        <bgColor rgb="FFBE552D"/>
      </patternFill>
    </fill>
    <fill>
      <patternFill patternType="solid">
        <fgColor rgb="FF888888"/>
        <bgColor rgb="FF787878"/>
      </patternFill>
    </fill>
    <fill>
      <patternFill patternType="solid">
        <fgColor rgb="FFCFE2F3"/>
        <bgColor rgb="FFD9E1F2"/>
      </patternFill>
    </fill>
    <fill>
      <patternFill patternType="solid">
        <fgColor rgb="FFFFF2CC"/>
        <bgColor rgb="FFFFF4CC"/>
      </patternFill>
    </fill>
    <fill>
      <patternFill patternType="solid">
        <fgColor rgb="FFD9E1F2"/>
        <bgColor rgb="FFD9DEE3"/>
      </patternFill>
    </fill>
    <fill>
      <patternFill patternType="solid">
        <fgColor rgb="FFD9EAD3"/>
        <bgColor rgb="FFD9DEE3"/>
      </patternFill>
    </fill>
    <fill>
      <patternFill patternType="solid">
        <fgColor rgb="FFEFEFEF"/>
        <bgColor rgb="FFF4F7FA"/>
      </patternFill>
    </fill>
    <fill>
      <patternFill patternType="solid">
        <fgColor rgb="FFF5F8FB"/>
        <bgColor rgb="FFF4F7FA"/>
      </patternFill>
    </fill>
    <fill>
      <patternFill patternType="solid">
        <fgColor rgb="FF002B49"/>
        <bgColor rgb="FF142850"/>
      </patternFill>
    </fill>
    <fill>
      <patternFill patternType="solid">
        <fgColor rgb="FFFFF8E7"/>
        <bgColor rgb="FFFAFAFA"/>
      </patternFill>
    </fill>
    <fill>
      <patternFill patternType="solid">
        <fgColor rgb="FFDCE9F5"/>
        <bgColor rgb="FFD9E1F2"/>
      </patternFill>
    </fill>
    <fill>
      <patternFill patternType="solid">
        <fgColor rgb="FFF4F7FA"/>
        <bgColor rgb="FFF5F8FB"/>
      </patternFill>
    </fill>
    <fill>
      <patternFill patternType="solid">
        <fgColor rgb="FFFFFFFF"/>
        <bgColor rgb="FFFAFAFA"/>
      </patternFill>
    </fill>
    <fill>
      <patternFill patternType="solid">
        <fgColor rgb="FFFBEEE0"/>
        <bgColor rgb="FFFFF2CC"/>
      </patternFill>
    </fill>
    <fill>
      <patternFill patternType="solid">
        <fgColor rgb="FFFFF4CC"/>
        <bgColor rgb="FFFFF2CC"/>
      </patternFill>
    </fill>
    <fill>
      <patternFill patternType="solid">
        <fgColor theme="9" tint="0.59959715567491678"/>
        <bgColor rgb="FFD9EAD3"/>
      </patternFill>
    </fill>
    <fill>
      <patternFill patternType="solid">
        <fgColor theme="9" tint="-0.249977111117893"/>
        <bgColor rgb="FF2E753E"/>
      </patternFill>
    </fill>
    <fill>
      <patternFill patternType="solid">
        <fgColor rgb="FFC8C8C8"/>
        <bgColor rgb="FFBBBBBB"/>
      </patternFill>
    </fill>
  </fills>
  <borders count="10">
    <border>
      <left/>
      <right/>
      <top/>
      <bottom/>
      <diagonal/>
    </border>
    <border>
      <left style="double">
        <color theme="2" tint="-0.499984740745262"/>
      </left>
      <right style="double">
        <color theme="2" tint="-0.499984740745262"/>
      </right>
      <top style="double">
        <color theme="2" tint="-0.499984740745262"/>
      </top>
      <bottom style="double">
        <color theme="2" tint="-0.499984740745262"/>
      </bottom>
      <diagonal/>
    </border>
    <border>
      <left style="thin">
        <color rgb="FFBBBBBB"/>
      </left>
      <right style="thin">
        <color rgb="FFBBBBBB"/>
      </right>
      <top style="thin">
        <color rgb="FFBBBBBB"/>
      </top>
      <bottom style="thin">
        <color rgb="FFBBBBBB"/>
      </bottom>
      <diagonal/>
    </border>
    <border>
      <left style="thin">
        <color rgb="FFD9D9D9"/>
      </left>
      <right style="thin">
        <color rgb="FFD9D9D9"/>
      </right>
      <top style="thin">
        <color rgb="FFD9D9D9"/>
      </top>
      <bottom style="thin">
        <color rgb="FFD9D9D9"/>
      </bottom>
      <diagonal/>
    </border>
    <border>
      <left style="thin">
        <color auto="1"/>
      </left>
      <right style="thin">
        <color auto="1"/>
      </right>
      <top style="thin">
        <color auto="1"/>
      </top>
      <bottom style="thin">
        <color auto="1"/>
      </bottom>
      <diagonal/>
    </border>
    <border>
      <left style="thin">
        <color rgb="FFD9DEE3"/>
      </left>
      <right style="thin">
        <color rgb="FFD9DEE3"/>
      </right>
      <top style="thin">
        <color rgb="FFD9DEE3"/>
      </top>
      <bottom style="thin">
        <color rgb="FFD9DEE3"/>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s>
  <cellStyleXfs count="4">
    <xf numFmtId="0" fontId="0" fillId="0" borderId="0"/>
    <xf numFmtId="0" fontId="1" fillId="2" borderId="1"/>
    <xf numFmtId="0" fontId="2" fillId="0" borderId="0">
      <alignment horizontal="left" vertical="center"/>
    </xf>
    <xf numFmtId="0" fontId="3" fillId="0" borderId="0"/>
  </cellStyleXfs>
  <cellXfs count="158">
    <xf numFmtId="0" fontId="0" fillId="0" borderId="0" xfId="0"/>
    <xf numFmtId="0" fontId="10" fillId="11" borderId="2" xfId="0" applyFont="1" applyFill="1" applyBorder="1" applyAlignment="1">
      <alignment horizontal="left" vertical="center" wrapText="1" indent="1"/>
    </xf>
    <xf numFmtId="0" fontId="10" fillId="0" borderId="2" xfId="0" applyFont="1" applyBorder="1" applyAlignment="1">
      <alignment horizontal="left" vertical="center" wrapText="1" indent="1"/>
    </xf>
    <xf numFmtId="0" fontId="8" fillId="5" borderId="2" xfId="0" applyFont="1" applyFill="1" applyBorder="1" applyAlignment="1">
      <alignment horizontal="center" vertical="center"/>
    </xf>
    <xf numFmtId="0" fontId="9" fillId="6" borderId="2" xfId="0" applyFont="1" applyFill="1" applyBorder="1" applyAlignment="1">
      <alignment horizontal="center" vertical="center"/>
    </xf>
    <xf numFmtId="0" fontId="11" fillId="0" borderId="2" xfId="0" applyFont="1" applyBorder="1" applyAlignment="1">
      <alignment horizontal="center" vertical="center"/>
    </xf>
    <xf numFmtId="0" fontId="9" fillId="7" borderId="2" xfId="0" applyFont="1" applyFill="1" applyBorder="1" applyAlignment="1">
      <alignment horizontal="center" vertical="center"/>
    </xf>
    <xf numFmtId="0" fontId="9" fillId="8" borderId="2" xfId="0" applyFont="1" applyFill="1" applyBorder="1" applyAlignment="1">
      <alignment horizontal="center" vertical="center"/>
    </xf>
    <xf numFmtId="0" fontId="9" fillId="9" borderId="2" xfId="0" applyFont="1" applyFill="1" applyBorder="1" applyAlignment="1">
      <alignment horizontal="center" vertical="center"/>
    </xf>
    <xf numFmtId="0" fontId="12" fillId="0" borderId="2" xfId="0" applyFont="1" applyBorder="1" applyAlignment="1">
      <alignment horizontal="center" vertical="center"/>
    </xf>
    <xf numFmtId="0" fontId="9" fillId="10" borderId="2" xfId="0" applyFont="1" applyFill="1" applyBorder="1" applyAlignment="1">
      <alignment horizontal="center" vertical="center"/>
    </xf>
    <xf numFmtId="0" fontId="13" fillId="0" borderId="2" xfId="0" applyFont="1" applyBorder="1" applyAlignment="1">
      <alignment horizontal="center" vertical="center"/>
    </xf>
    <xf numFmtId="0" fontId="14" fillId="0" borderId="2" xfId="0" applyFont="1" applyBorder="1" applyAlignment="1">
      <alignment horizontal="left" vertical="center" indent="1"/>
    </xf>
    <xf numFmtId="0" fontId="15" fillId="0" borderId="2" xfId="0" applyFont="1" applyBorder="1" applyAlignment="1">
      <alignment horizontal="center" vertical="center" wrapText="1"/>
    </xf>
    <xf numFmtId="0" fontId="16" fillId="0" borderId="2" xfId="0" applyFont="1" applyBorder="1" applyAlignment="1">
      <alignment horizontal="center" vertical="center"/>
    </xf>
    <xf numFmtId="0" fontId="13" fillId="11" borderId="2" xfId="0" applyFont="1" applyFill="1" applyBorder="1" applyAlignment="1">
      <alignment horizontal="center" vertical="center"/>
    </xf>
    <xf numFmtId="0" fontId="14" fillId="11" borderId="2" xfId="0" applyFont="1" applyFill="1" applyBorder="1" applyAlignment="1">
      <alignment horizontal="left" vertical="center" indent="1"/>
    </xf>
    <xf numFmtId="0" fontId="15" fillId="11" borderId="2" xfId="0" applyFont="1" applyFill="1" applyBorder="1" applyAlignment="1">
      <alignment horizontal="center" vertical="center" wrapText="1"/>
    </xf>
    <xf numFmtId="0" fontId="16" fillId="11" borderId="2" xfId="0" applyFont="1" applyFill="1" applyBorder="1" applyAlignment="1">
      <alignment horizontal="center" vertical="center"/>
    </xf>
    <xf numFmtId="0" fontId="17" fillId="0" borderId="2" xfId="0" applyFont="1" applyBorder="1" applyAlignment="1">
      <alignment horizontal="center" vertical="center"/>
    </xf>
    <xf numFmtId="0" fontId="18" fillId="0" borderId="2" xfId="0" applyFont="1" applyBorder="1" applyAlignment="1">
      <alignment horizontal="left" vertical="center" indent="1"/>
    </xf>
    <xf numFmtId="0" fontId="17" fillId="11" borderId="2" xfId="0" applyFont="1" applyFill="1" applyBorder="1" applyAlignment="1">
      <alignment horizontal="center" vertical="center"/>
    </xf>
    <xf numFmtId="0" fontId="18" fillId="11" borderId="2" xfId="0" applyFont="1" applyFill="1" applyBorder="1" applyAlignment="1">
      <alignment horizontal="left" vertical="center" indent="1"/>
    </xf>
    <xf numFmtId="0" fontId="20" fillId="0" borderId="0" xfId="0" applyFont="1"/>
    <xf numFmtId="0" fontId="21" fillId="12" borderId="0" xfId="0" applyFont="1" applyFill="1" applyAlignment="1">
      <alignment horizontal="center" vertical="center"/>
    </xf>
    <xf numFmtId="0" fontId="22" fillId="0" borderId="0" xfId="0" applyFont="1"/>
    <xf numFmtId="0" fontId="20" fillId="0" borderId="0" xfId="0" applyFont="1" applyAlignment="1">
      <alignment horizontal="center"/>
    </xf>
    <xf numFmtId="0" fontId="23" fillId="13" borderId="0" xfId="0" applyFont="1" applyFill="1" applyAlignment="1">
      <alignment horizontal="left" vertical="center" indent="1"/>
    </xf>
    <xf numFmtId="0" fontId="24" fillId="0" borderId="0" xfId="0" applyFont="1" applyAlignment="1">
      <alignment vertical="center" wrapText="1"/>
    </xf>
    <xf numFmtId="0" fontId="25" fillId="0" borderId="0" xfId="0" applyFont="1" applyAlignment="1">
      <alignment vertical="center" wrapText="1"/>
    </xf>
    <xf numFmtId="0" fontId="26" fillId="0" borderId="0" xfId="0" applyFont="1"/>
    <xf numFmtId="0" fontId="27" fillId="0" borderId="0" xfId="0" applyFont="1" applyAlignment="1">
      <alignment vertical="center" wrapText="1"/>
    </xf>
    <xf numFmtId="0" fontId="28" fillId="6" borderId="0" xfId="0" applyFont="1" applyFill="1" applyAlignment="1">
      <alignment vertical="center" indent="1"/>
    </xf>
    <xf numFmtId="0" fontId="28" fillId="7" borderId="0" xfId="0" applyFont="1" applyFill="1" applyAlignment="1">
      <alignment vertical="center" indent="1"/>
    </xf>
    <xf numFmtId="0" fontId="28" fillId="9" borderId="0" xfId="0" applyFont="1" applyFill="1" applyAlignment="1">
      <alignment vertical="center" indent="1"/>
    </xf>
    <xf numFmtId="0" fontId="28" fillId="10" borderId="0" xfId="0" applyFont="1" applyFill="1" applyAlignment="1">
      <alignment vertical="center" indent="1"/>
    </xf>
    <xf numFmtId="0" fontId="28" fillId="8" borderId="0" xfId="0" applyFont="1" applyFill="1" applyAlignment="1">
      <alignment vertical="center" indent="1"/>
    </xf>
    <xf numFmtId="0" fontId="31" fillId="12" borderId="3" xfId="0" applyFont="1" applyFill="1" applyBorder="1" applyAlignment="1">
      <alignment horizontal="center" vertical="center" wrapText="1"/>
    </xf>
    <xf numFmtId="0" fontId="32" fillId="14" borderId="3" xfId="0" applyFont="1" applyFill="1" applyBorder="1" applyAlignment="1">
      <alignment vertical="center"/>
    </xf>
    <xf numFmtId="0" fontId="33" fillId="15" borderId="3" xfId="0" applyFont="1" applyFill="1" applyBorder="1" applyAlignment="1">
      <alignment horizontal="center" vertical="center"/>
    </xf>
    <xf numFmtId="0" fontId="33" fillId="15" borderId="3" xfId="0" applyFont="1" applyFill="1" applyBorder="1" applyAlignment="1">
      <alignment vertical="center"/>
    </xf>
    <xf numFmtId="0" fontId="33" fillId="15" borderId="3" xfId="0" applyFont="1" applyFill="1" applyBorder="1" applyAlignment="1">
      <alignment vertical="center" wrapText="1"/>
    </xf>
    <xf numFmtId="164" fontId="33" fillId="15" borderId="3" xfId="0" applyNumberFormat="1" applyFont="1" applyFill="1" applyBorder="1" applyAlignment="1">
      <alignment vertical="center"/>
    </xf>
    <xf numFmtId="0" fontId="33" fillId="16" borderId="3" xfId="0" applyFont="1" applyFill="1" applyBorder="1" applyAlignment="1">
      <alignment horizontal="center" vertical="center"/>
    </xf>
    <xf numFmtId="0" fontId="33" fillId="16" borderId="3" xfId="0" applyFont="1" applyFill="1" applyBorder="1" applyAlignment="1">
      <alignment vertical="center"/>
    </xf>
    <xf numFmtId="0" fontId="33" fillId="16" borderId="3" xfId="0" applyFont="1" applyFill="1" applyBorder="1" applyAlignment="1">
      <alignment vertical="center" wrapText="1"/>
    </xf>
    <xf numFmtId="164" fontId="33" fillId="16" borderId="3" xfId="0" applyNumberFormat="1" applyFont="1" applyFill="1" applyBorder="1" applyAlignment="1">
      <alignment vertical="center"/>
    </xf>
    <xf numFmtId="165" fontId="33" fillId="15" borderId="3" xfId="0" applyNumberFormat="1" applyFont="1" applyFill="1" applyBorder="1" applyAlignment="1">
      <alignment vertical="center"/>
    </xf>
    <xf numFmtId="165" fontId="33" fillId="16" borderId="3" xfId="0" applyNumberFormat="1" applyFont="1" applyFill="1" applyBorder="1" applyAlignment="1">
      <alignment vertical="center"/>
    </xf>
    <xf numFmtId="0" fontId="0" fillId="0" borderId="0" xfId="0" applyAlignment="1">
      <alignment horizontal="center"/>
    </xf>
    <xf numFmtId="0" fontId="34" fillId="17" borderId="3" xfId="0" applyFont="1" applyFill="1" applyBorder="1" applyAlignment="1">
      <alignment vertical="center"/>
    </xf>
    <xf numFmtId="0" fontId="0" fillId="0" borderId="0" xfId="0" applyAlignment="1">
      <alignment horizontal="center" vertical="center"/>
    </xf>
    <xf numFmtId="0" fontId="36" fillId="0" borderId="4" xfId="0" applyFont="1" applyBorder="1" applyAlignment="1">
      <alignment horizontal="center"/>
    </xf>
    <xf numFmtId="0" fontId="36" fillId="0" borderId="4" xfId="0" applyFont="1" applyBorder="1" applyAlignment="1">
      <alignment horizontal="center" vertical="center"/>
    </xf>
    <xf numFmtId="164" fontId="0" fillId="9" borderId="4" xfId="0" applyNumberFormat="1" applyFill="1" applyBorder="1" applyAlignment="1">
      <alignment horizontal="center"/>
    </xf>
    <xf numFmtId="0" fontId="0" fillId="9" borderId="4" xfId="0" applyFill="1" applyBorder="1" applyAlignment="1">
      <alignment horizontal="center"/>
    </xf>
    <xf numFmtId="0" fontId="0" fillId="6" borderId="4" xfId="0" applyFill="1" applyBorder="1" applyAlignment="1">
      <alignment horizontal="center" vertical="center"/>
    </xf>
    <xf numFmtId="0" fontId="0" fillId="6" borderId="4" xfId="0" applyFill="1" applyBorder="1"/>
    <xf numFmtId="166" fontId="0" fillId="8" borderId="4" xfId="0" applyNumberFormat="1" applyFill="1" applyBorder="1" applyAlignment="1">
      <alignment horizontal="center" vertical="center"/>
    </xf>
    <xf numFmtId="166" fontId="0" fillId="7" borderId="4" xfId="0" applyNumberFormat="1" applyFill="1" applyBorder="1" applyAlignment="1">
      <alignment horizontal="center"/>
    </xf>
    <xf numFmtId="0" fontId="0" fillId="0" borderId="4" xfId="0" applyBorder="1"/>
    <xf numFmtId="0" fontId="37" fillId="6" borderId="4" xfId="0" applyFont="1" applyFill="1" applyBorder="1" applyAlignment="1">
      <alignment horizontal="center"/>
    </xf>
    <xf numFmtId="0" fontId="0" fillId="6" borderId="4" xfId="0" applyFill="1" applyBorder="1" applyAlignment="1">
      <alignment horizontal="left"/>
    </xf>
    <xf numFmtId="166" fontId="0" fillId="7" borderId="4" xfId="0" applyNumberFormat="1" applyFill="1" applyBorder="1"/>
    <xf numFmtId="0" fontId="38" fillId="6" borderId="4" xfId="0" applyFont="1" applyFill="1" applyBorder="1"/>
    <xf numFmtId="166" fontId="0" fillId="6" borderId="4" xfId="0" applyNumberFormat="1" applyFill="1" applyBorder="1"/>
    <xf numFmtId="0" fontId="0" fillId="9" borderId="0" xfId="0" applyFill="1"/>
    <xf numFmtId="0" fontId="0" fillId="6" borderId="0" xfId="0" applyFill="1"/>
    <xf numFmtId="0" fontId="0" fillId="8" borderId="0" xfId="0" applyFill="1"/>
    <xf numFmtId="0" fontId="0" fillId="7" borderId="0" xfId="0" applyFill="1"/>
    <xf numFmtId="0" fontId="36" fillId="6" borderId="4" xfId="0" applyFont="1" applyFill="1" applyBorder="1" applyAlignment="1">
      <alignment horizontal="center"/>
    </xf>
    <xf numFmtId="0" fontId="36" fillId="8" borderId="4" xfId="0" applyFont="1" applyFill="1" applyBorder="1" applyAlignment="1">
      <alignment horizontal="center" vertical="center"/>
    </xf>
    <xf numFmtId="0" fontId="36" fillId="7" borderId="4" xfId="0" applyFont="1" applyFill="1" applyBorder="1" applyAlignment="1">
      <alignment horizontal="center"/>
    </xf>
    <xf numFmtId="164" fontId="0" fillId="9" borderId="4" xfId="0" applyNumberFormat="1" applyFill="1" applyBorder="1" applyAlignment="1">
      <alignment horizontal="center" vertical="center"/>
    </xf>
    <xf numFmtId="0" fontId="0" fillId="9" borderId="4" xfId="0" applyFill="1" applyBorder="1" applyAlignment="1">
      <alignment horizontal="center" vertical="center"/>
    </xf>
    <xf numFmtId="0" fontId="0" fillId="6" borderId="4" xfId="0" applyFill="1" applyBorder="1" applyAlignment="1">
      <alignment horizontal="left" vertical="center" wrapText="1"/>
    </xf>
    <xf numFmtId="166" fontId="0" fillId="9" borderId="0" xfId="0" applyNumberFormat="1" applyFill="1" applyAlignment="1">
      <alignment horizontal="center"/>
    </xf>
    <xf numFmtId="0" fontId="0" fillId="6" borderId="0" xfId="0" applyFill="1" applyAlignment="1">
      <alignment horizontal="center" vertical="center"/>
    </xf>
    <xf numFmtId="0" fontId="0" fillId="6" borderId="0" xfId="0" applyFill="1" applyAlignment="1">
      <alignment horizontal="center" vertical="center" wrapText="1"/>
    </xf>
    <xf numFmtId="166" fontId="0" fillId="8" borderId="0" xfId="0" applyNumberFormat="1" applyFill="1" applyAlignment="1">
      <alignment horizontal="center" vertical="center"/>
    </xf>
    <xf numFmtId="166" fontId="0" fillId="7" borderId="0" xfId="0" applyNumberFormat="1" applyFill="1" applyAlignment="1">
      <alignment horizontal="center" vertical="center"/>
    </xf>
    <xf numFmtId="0" fontId="0" fillId="6" borderId="4" xfId="0" applyFill="1" applyBorder="1" applyAlignment="1">
      <alignment vertical="center" wrapText="1"/>
    </xf>
    <xf numFmtId="166" fontId="0" fillId="6" borderId="4" xfId="0" applyNumberFormat="1" applyFill="1" applyBorder="1" applyAlignment="1">
      <alignment vertical="center" wrapText="1"/>
    </xf>
    <xf numFmtId="166" fontId="0" fillId="8" borderId="4" xfId="0" applyNumberFormat="1" applyFill="1" applyBorder="1" applyAlignment="1">
      <alignment vertical="center"/>
    </xf>
    <xf numFmtId="166" fontId="0" fillId="7" borderId="4" xfId="0" applyNumberFormat="1" applyFill="1" applyBorder="1" applyAlignment="1">
      <alignment vertical="center"/>
    </xf>
    <xf numFmtId="0" fontId="0" fillId="0" borderId="4" xfId="0" applyBorder="1" applyAlignment="1">
      <alignment vertical="center"/>
    </xf>
    <xf numFmtId="166" fontId="0" fillId="6" borderId="4" xfId="0" applyNumberFormat="1" applyFill="1" applyBorder="1" applyAlignment="1">
      <alignment vertical="center"/>
    </xf>
    <xf numFmtId="0" fontId="38" fillId="6" borderId="4" xfId="0" applyFont="1" applyFill="1" applyBorder="1" applyAlignment="1">
      <alignment vertical="center" wrapText="1"/>
    </xf>
    <xf numFmtId="0" fontId="31" fillId="12" borderId="5" xfId="0" applyFont="1" applyFill="1" applyBorder="1" applyAlignment="1">
      <alignment horizontal="center" vertical="center" wrapText="1"/>
    </xf>
    <xf numFmtId="0" fontId="34" fillId="17" borderId="5" xfId="0" applyFont="1" applyFill="1" applyBorder="1" applyAlignment="1">
      <alignment horizontal="left" vertical="center"/>
    </xf>
    <xf numFmtId="0" fontId="33" fillId="15" borderId="5" xfId="0" applyFont="1" applyFill="1" applyBorder="1" applyAlignment="1">
      <alignment horizontal="left" vertical="center" wrapText="1"/>
    </xf>
    <xf numFmtId="0" fontId="33" fillId="15" borderId="5" xfId="0" applyFont="1" applyFill="1" applyBorder="1" applyAlignment="1">
      <alignment horizontal="left" vertical="center"/>
    </xf>
    <xf numFmtId="14" fontId="33" fillId="15" borderId="5" xfId="0" applyNumberFormat="1" applyFont="1" applyFill="1" applyBorder="1" applyAlignment="1">
      <alignment horizontal="center" vertical="center"/>
    </xf>
    <xf numFmtId="0" fontId="33" fillId="15" borderId="5" xfId="0" applyFont="1" applyFill="1" applyBorder="1" applyAlignment="1">
      <alignment horizontal="center" vertical="center"/>
    </xf>
    <xf numFmtId="167" fontId="33" fillId="15" borderId="5" xfId="0" applyNumberFormat="1" applyFont="1" applyFill="1" applyBorder="1" applyAlignment="1">
      <alignment horizontal="center" vertical="center"/>
    </xf>
    <xf numFmtId="0" fontId="41" fillId="12" borderId="3" xfId="0" applyFont="1" applyFill="1" applyBorder="1" applyAlignment="1">
      <alignment horizontal="center" vertical="center" wrapText="1"/>
    </xf>
    <xf numFmtId="0" fontId="42" fillId="17" borderId="3" xfId="0" applyFont="1" applyFill="1" applyBorder="1" applyAlignment="1">
      <alignment vertical="center"/>
    </xf>
    <xf numFmtId="0" fontId="43" fillId="16" borderId="3" xfId="0" applyFont="1" applyFill="1" applyBorder="1" applyAlignment="1">
      <alignment vertical="center"/>
    </xf>
    <xf numFmtId="168" fontId="43" fillId="16" borderId="3" xfId="0" applyNumberFormat="1" applyFont="1" applyFill="1" applyBorder="1" applyAlignment="1">
      <alignment vertical="center"/>
    </xf>
    <xf numFmtId="169" fontId="43" fillId="16" borderId="3" xfId="0" applyNumberFormat="1" applyFont="1" applyFill="1" applyBorder="1" applyAlignment="1">
      <alignment vertical="center"/>
    </xf>
    <xf numFmtId="0" fontId="43" fillId="15" borderId="3" xfId="0" applyFont="1" applyFill="1" applyBorder="1" applyAlignment="1">
      <alignment vertical="center"/>
    </xf>
    <xf numFmtId="168" fontId="43" fillId="15" borderId="3" xfId="0" applyNumberFormat="1" applyFont="1" applyFill="1" applyBorder="1" applyAlignment="1">
      <alignment vertical="center"/>
    </xf>
    <xf numFmtId="169" fontId="43" fillId="15" borderId="3" xfId="0" applyNumberFormat="1" applyFont="1" applyFill="1" applyBorder="1" applyAlignment="1">
      <alignment vertical="center"/>
    </xf>
    <xf numFmtId="0" fontId="44" fillId="14" borderId="3" xfId="0" applyFont="1" applyFill="1" applyBorder="1" applyAlignment="1">
      <alignment vertical="center"/>
    </xf>
    <xf numFmtId="0" fontId="45" fillId="18" borderId="3" xfId="0" applyFont="1" applyFill="1" applyBorder="1" applyAlignment="1">
      <alignment vertical="center"/>
    </xf>
    <xf numFmtId="164" fontId="43" fillId="16" borderId="3" xfId="0" applyNumberFormat="1" applyFont="1" applyFill="1" applyBorder="1" applyAlignment="1">
      <alignment vertical="center"/>
    </xf>
    <xf numFmtId="164" fontId="43" fillId="15" borderId="3" xfId="0" applyNumberFormat="1" applyFont="1" applyFill="1" applyBorder="1" applyAlignment="1">
      <alignment vertical="center"/>
    </xf>
    <xf numFmtId="164" fontId="45" fillId="18" borderId="3" xfId="0" applyNumberFormat="1" applyFont="1" applyFill="1" applyBorder="1" applyAlignment="1">
      <alignment vertical="center"/>
    </xf>
    <xf numFmtId="9" fontId="45" fillId="18" borderId="3" xfId="0" applyNumberFormat="1" applyFont="1" applyFill="1" applyBorder="1" applyAlignment="1">
      <alignment vertical="center"/>
    </xf>
    <xf numFmtId="0" fontId="46" fillId="0" borderId="6" xfId="0" applyFont="1" applyBorder="1" applyAlignment="1">
      <alignment horizontal="center" vertical="center"/>
    </xf>
    <xf numFmtId="0" fontId="46" fillId="0" borderId="7" xfId="0" applyFont="1" applyBorder="1" applyAlignment="1">
      <alignment horizontal="center" vertical="center"/>
    </xf>
    <xf numFmtId="0" fontId="47" fillId="0" borderId="6" xfId="0" applyFont="1" applyBorder="1" applyAlignment="1">
      <alignment horizontal="center" vertical="center" wrapText="1"/>
    </xf>
    <xf numFmtId="0" fontId="38" fillId="19" borderId="6" xfId="0" applyFont="1" applyFill="1" applyBorder="1" applyAlignment="1">
      <alignment horizontal="left" vertical="center" wrapText="1" indent="1"/>
    </xf>
    <xf numFmtId="0" fontId="38" fillId="19" borderId="8" xfId="0" applyFont="1" applyFill="1" applyBorder="1" applyAlignment="1">
      <alignment horizontal="left" vertical="center" wrapText="1" indent="1"/>
    </xf>
    <xf numFmtId="0" fontId="38" fillId="0" borderId="8" xfId="0" applyFont="1" applyBorder="1" applyAlignment="1">
      <alignment horizontal="center" vertical="center" wrapText="1"/>
    </xf>
    <xf numFmtId="166" fontId="0" fillId="0" borderId="6" xfId="0" applyNumberFormat="1" applyBorder="1" applyAlignment="1">
      <alignment horizontal="center" vertical="center" wrapText="1"/>
    </xf>
    <xf numFmtId="0" fontId="47" fillId="0" borderId="9" xfId="0" applyFont="1" applyBorder="1" applyAlignment="1">
      <alignment horizontal="left" vertical="center" indent="1"/>
    </xf>
    <xf numFmtId="0" fontId="38" fillId="20" borderId="8" xfId="0" applyFont="1" applyFill="1" applyBorder="1" applyAlignment="1">
      <alignment horizontal="left" vertical="center" wrapText="1" indent="1"/>
    </xf>
    <xf numFmtId="166" fontId="0" fillId="0" borderId="6" xfId="0" applyNumberFormat="1" applyBorder="1" applyAlignment="1">
      <alignment horizontal="center" vertical="center"/>
    </xf>
    <xf numFmtId="0" fontId="38" fillId="0" borderId="9" xfId="0" applyFont="1" applyBorder="1" applyAlignment="1">
      <alignment horizontal="left" vertical="center" indent="1"/>
    </xf>
    <xf numFmtId="0" fontId="0" fillId="0" borderId="6" xfId="0" applyBorder="1" applyAlignment="1">
      <alignment horizontal="center" vertical="center"/>
    </xf>
    <xf numFmtId="0" fontId="0" fillId="0" borderId="6" xfId="0" applyBorder="1"/>
    <xf numFmtId="0" fontId="38" fillId="0" borderId="8" xfId="0" applyFont="1" applyBorder="1" applyAlignment="1">
      <alignment horizontal="left" vertical="center" wrapText="1" indent="1"/>
    </xf>
    <xf numFmtId="0" fontId="0" fillId="0" borderId="6" xfId="0" applyBorder="1" applyAlignment="1">
      <alignment horizontal="center" vertical="center" wrapText="1"/>
    </xf>
    <xf numFmtId="166" fontId="0" fillId="0" borderId="0" xfId="0" applyNumberFormat="1"/>
    <xf numFmtId="0" fontId="36" fillId="21" borderId="4" xfId="0" applyFont="1" applyFill="1" applyBorder="1" applyAlignment="1">
      <alignment horizontal="center"/>
    </xf>
    <xf numFmtId="0" fontId="0" fillId="0" borderId="4" xfId="0" applyBorder="1" applyAlignment="1">
      <alignment horizontal="center"/>
    </xf>
    <xf numFmtId="10" fontId="0" fillId="0" borderId="4" xfId="0" applyNumberFormat="1" applyBorder="1" applyAlignment="1">
      <alignment horizontal="center"/>
    </xf>
    <xf numFmtId="0" fontId="10" fillId="0" borderId="4" xfId="0" applyFont="1" applyBorder="1" applyAlignment="1">
      <alignment horizontal="center"/>
    </xf>
    <xf numFmtId="0" fontId="36" fillId="0" borderId="4" xfId="0" applyFont="1" applyBorder="1"/>
    <xf numFmtId="0" fontId="30" fillId="12" borderId="0" xfId="0" applyFont="1" applyFill="1" applyAlignment="1">
      <alignment horizontal="center" vertical="center"/>
    </xf>
    <xf numFmtId="0" fontId="10" fillId="0" borderId="2" xfId="0" applyFont="1" applyBorder="1" applyAlignment="1">
      <alignment horizontal="left" vertical="center"/>
    </xf>
    <xf numFmtId="0" fontId="19" fillId="4" borderId="0" xfId="0" applyFont="1" applyFill="1" applyAlignment="1">
      <alignment horizontal="center" vertical="center"/>
    </xf>
    <xf numFmtId="0" fontId="19" fillId="3" borderId="0" xfId="0" applyFont="1" applyFill="1" applyAlignment="1">
      <alignment horizontal="center" vertical="center"/>
    </xf>
    <xf numFmtId="0" fontId="10" fillId="0" borderId="2" xfId="0" applyFont="1" applyBorder="1" applyAlignment="1">
      <alignment horizontal="left" vertical="center" wrapText="1" indent="1"/>
    </xf>
    <xf numFmtId="0" fontId="10" fillId="11" borderId="2" xfId="0" applyFont="1" applyFill="1" applyBorder="1" applyAlignment="1">
      <alignment horizontal="left" vertical="center" wrapText="1" indent="1"/>
    </xf>
    <xf numFmtId="0" fontId="6" fillId="4" borderId="0" xfId="0" applyFont="1" applyFill="1" applyAlignment="1">
      <alignment horizontal="left" vertical="center" indent="1"/>
    </xf>
    <xf numFmtId="0" fontId="7" fillId="0" borderId="0" xfId="0" applyFont="1" applyAlignment="1">
      <alignment horizontal="left" vertical="center" wrapText="1" indent="1"/>
    </xf>
    <xf numFmtId="0" fontId="8" fillId="5" borderId="2" xfId="0" applyFont="1" applyFill="1" applyBorder="1" applyAlignment="1">
      <alignment horizontal="center" vertical="center"/>
    </xf>
    <xf numFmtId="0" fontId="10" fillId="0" borderId="2" xfId="0" applyFont="1" applyBorder="1" applyAlignment="1">
      <alignment horizontal="left" vertical="center" indent="1"/>
    </xf>
    <xf numFmtId="0" fontId="4" fillId="3" borderId="0" xfId="0" applyFont="1" applyFill="1" applyAlignment="1">
      <alignment horizontal="center" vertical="center"/>
    </xf>
    <xf numFmtId="0" fontId="5" fillId="0" borderId="0" xfId="0" applyFont="1" applyAlignment="1">
      <alignment horizontal="center" vertical="center"/>
    </xf>
    <xf numFmtId="0" fontId="7" fillId="0" borderId="0" xfId="0" applyFont="1" applyAlignment="1">
      <alignment horizontal="left" vertical="center" indent="1"/>
    </xf>
    <xf numFmtId="0" fontId="0" fillId="6" borderId="4" xfId="0" applyFill="1" applyBorder="1" applyAlignment="1">
      <alignment horizontal="center" vertical="center" wrapText="1"/>
    </xf>
    <xf numFmtId="0" fontId="36" fillId="9" borderId="4" xfId="0" applyFont="1" applyFill="1" applyBorder="1" applyAlignment="1">
      <alignment horizontal="center"/>
    </xf>
    <xf numFmtId="0" fontId="0" fillId="6" borderId="4" xfId="0" applyFill="1" applyBorder="1" applyAlignment="1">
      <alignment horizontal="center" vertical="center"/>
    </xf>
    <xf numFmtId="0" fontId="38" fillId="6" borderId="4" xfId="0" applyFont="1" applyFill="1" applyBorder="1" applyAlignment="1">
      <alignment horizontal="center" vertical="center" wrapText="1"/>
    </xf>
    <xf numFmtId="166" fontId="0" fillId="6" borderId="4" xfId="0" applyNumberFormat="1" applyFill="1" applyBorder="1" applyAlignment="1">
      <alignment horizontal="center" vertical="center" wrapText="1"/>
    </xf>
    <xf numFmtId="166" fontId="0" fillId="8" borderId="4" xfId="0" applyNumberFormat="1" applyFill="1" applyBorder="1" applyAlignment="1">
      <alignment horizontal="center" vertical="center"/>
    </xf>
    <xf numFmtId="0" fontId="0" fillId="6" borderId="4" xfId="0" applyFill="1" applyBorder="1" applyAlignment="1">
      <alignment horizontal="left" vertical="center" wrapText="1"/>
    </xf>
    <xf numFmtId="166" fontId="0" fillId="6" borderId="4" xfId="0" applyNumberFormat="1" applyFill="1" applyBorder="1" applyAlignment="1">
      <alignment horizontal="left" vertical="center"/>
    </xf>
    <xf numFmtId="166" fontId="0" fillId="7" borderId="4" xfId="0" applyNumberFormat="1" applyFill="1" applyBorder="1" applyAlignment="1">
      <alignment horizontal="center" vertical="center"/>
    </xf>
    <xf numFmtId="0" fontId="0" fillId="0" borderId="4" xfId="0" applyBorder="1" applyAlignment="1">
      <alignment horizontal="center" vertical="center"/>
    </xf>
    <xf numFmtId="0" fontId="35" fillId="12" borderId="0" xfId="0" applyFont="1" applyFill="1" applyAlignment="1">
      <alignment horizontal="center" vertical="center"/>
    </xf>
    <xf numFmtId="0" fontId="36" fillId="0" borderId="4" xfId="0" applyFont="1" applyBorder="1" applyAlignment="1">
      <alignment horizontal="center"/>
    </xf>
    <xf numFmtId="0" fontId="39" fillId="6" borderId="4" xfId="0" applyFont="1" applyFill="1" applyBorder="1" applyAlignment="1">
      <alignment horizontal="center" vertical="center"/>
    </xf>
    <xf numFmtId="0" fontId="40" fillId="12" borderId="0" xfId="0" applyFont="1" applyFill="1" applyAlignment="1">
      <alignment horizontal="center" vertical="center"/>
    </xf>
    <xf numFmtId="0" fontId="46" fillId="0" borderId="6" xfId="0" applyFont="1" applyBorder="1" applyAlignment="1">
      <alignment horizontal="center" vertical="center"/>
    </xf>
  </cellXfs>
  <cellStyles count="4">
    <cellStyle name="Celda de comprobación 2" xfId="1" xr:uid="{00000000-0005-0000-0000-000006000000}"/>
    <cellStyle name="Normal" xfId="0" builtinId="0"/>
    <cellStyle name="Normal 2" xfId="2" xr:uid="{00000000-0005-0000-0000-000007000000}"/>
    <cellStyle name="Título 4" xfId="3" xr:uid="{00000000-0005-0000-0000-000008000000}"/>
  </cellStyles>
  <dxfs count="0"/>
  <tableStyles count="0" defaultTableStyle="TableStyleMedium2" defaultPivotStyle="PivotStyleLight16"/>
  <colors>
    <indexedColors>
      <rgbColor rgb="FF000000"/>
      <rgbColor rgb="FFFFFFFF"/>
      <rgbColor rgb="FFC00000"/>
      <rgbColor rgb="FFF5F8FB"/>
      <rgbColor rgb="FF0000FF"/>
      <rgbColor rgb="FFFBEEE0"/>
      <rgbColor rgb="FFFAFAFA"/>
      <rgbColor rgb="FFD9E1F2"/>
      <rgbColor rgb="FF500000"/>
      <rgbColor rgb="FF274E13"/>
      <rgbColor rgb="FF142850"/>
      <rgbColor rgb="FF548235"/>
      <rgbColor rgb="FF555555"/>
      <rgbColor rgb="FF44546A"/>
      <rgbColor rgb="FFBBBBBB"/>
      <rgbColor rgb="FF787878"/>
      <rgbColor rgb="FF99A8BD"/>
      <rgbColor rgb="FF962828"/>
      <rgbColor rgb="FFFFF4CC"/>
      <rgbColor rgb="FFDCE9F5"/>
      <rgbColor rgb="FF404040"/>
      <rgbColor rgb="FFBE552D"/>
      <rgbColor rgb="FF1F4E79"/>
      <rgbColor rgb="FFCFE2F3"/>
      <rgbColor rgb="FF003E7E"/>
      <rgbColor rgb="FFFF00FF"/>
      <rgbColor rgb="FFFFF8E7"/>
      <rgbColor rgb="FFEFEFEF"/>
      <rgbColor rgb="FF800080"/>
      <rgbColor rgb="FF800000"/>
      <rgbColor rgb="FF595959"/>
      <rgbColor rgb="FF0000FF"/>
      <rgbColor rgb="FFD9DEE3"/>
      <rgbColor rgb="FFF4F7FA"/>
      <rgbColor rgb="FFD9EAD3"/>
      <rgbColor rgb="FFFFF2CC"/>
      <rgbColor rgb="FFC8C8C8"/>
      <rgbColor rgb="FFA5A5A5"/>
      <rgbColor rgb="FFB3B3B3"/>
      <rgbColor rgb="FFDCDADA"/>
      <rgbColor rgb="FF4472C4"/>
      <rgbColor rgb="FF767171"/>
      <rgbColor rgb="FFC5E0B3"/>
      <rgbColor rgb="FFD9D9D9"/>
      <rgbColor rgb="FFDCDCDC"/>
      <rgbColor rgb="FFEE7202"/>
      <rgbColor rgb="FF666666"/>
      <rgbColor rgb="FF888888"/>
      <rgbColor rgb="FF002B49"/>
      <rgbColor rgb="FF2E753E"/>
      <rgbColor rgb="FF143214"/>
      <rgbColor rgb="FF242424"/>
      <rgbColor rgb="FF823214"/>
      <rgbColor rgb="FF8A4500"/>
      <rgbColor rgb="FF284678"/>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c:style val="2"/>
  <c:chart>
    <c:autoTitleDeleted val="1"/>
    <c:plotArea>
      <c:layout/>
      <c:barChart>
        <c:barDir val="col"/>
        <c:grouping val="clustered"/>
        <c:varyColors val="0"/>
        <c:ser>
          <c:idx val="0"/>
          <c:order val="0"/>
          <c:tx>
            <c:strRef>
              <c:f>Resumen!$D$1</c:f>
              <c:strCache>
                <c:ptCount val="1"/>
                <c:pt idx="0">
                  <c:v>% Rechazados</c:v>
                </c:pt>
              </c:strCache>
            </c:strRef>
          </c:tx>
          <c:spPr>
            <a:solidFill>
              <a:srgbClr val="962828"/>
            </a:solidFill>
            <a:ln w="12600">
              <a:solidFill>
                <a:srgbClr val="500000"/>
              </a:solidFill>
              <a:round/>
            </a:ln>
          </c:spPr>
          <c:invertIfNegative val="0"/>
          <c:dLbls>
            <c:spPr>
              <a:noFill/>
              <a:ln>
                <a:noFill/>
              </a:ln>
              <a:effectLst/>
            </c:spPr>
            <c:txPr>
              <a:bodyPr rot="-5400000" wrap="square"/>
              <a:lstStyle/>
              <a:p>
                <a:pPr>
                  <a:defRPr sz="850" b="1" u="none" strike="noStrike">
                    <a:solidFill>
                      <a:srgbClr val="404040"/>
                    </a:solidFill>
                    <a:uFillTx/>
                    <a:latin typeface="Segoe UI"/>
                    <a:ea typeface="Segoe U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Resumen!$A$2:$A$7</c:f>
              <c:strCache>
                <c:ptCount val="6"/>
                <c:pt idx="0">
                  <c:v>Chorrera-El Torno</c:v>
                </c:pt>
                <c:pt idx="1">
                  <c:v>Justo Arosemena</c:v>
                </c:pt>
                <c:pt idx="2">
                  <c:v>Llanos Sanchez-Pocrí</c:v>
                </c:pt>
                <c:pt idx="3">
                  <c:v>Panamá III- La Floresta</c:v>
                </c:pt>
                <c:pt idx="4">
                  <c:v>Santiago II</c:v>
                </c:pt>
                <c:pt idx="5">
                  <c:v>El Coco II</c:v>
                </c:pt>
              </c:strCache>
            </c:strRef>
          </c:cat>
          <c:val>
            <c:numRef>
              <c:f>Resumen!$D$2:$D$7</c:f>
              <c:numCache>
                <c:formatCode>0.00%</c:formatCode>
                <c:ptCount val="6"/>
                <c:pt idx="0">
                  <c:v>0.43421052631578999</c:v>
                </c:pt>
              </c:numCache>
            </c:numRef>
          </c:val>
          <c:extLst>
            <c:ext xmlns:c16="http://schemas.microsoft.com/office/drawing/2014/chart" uri="{C3380CC4-5D6E-409C-BE32-E72D297353CC}">
              <c16:uniqueId val="{00000000-2607-415A-8B3C-3BABAFAA3B10}"/>
            </c:ext>
          </c:extLst>
        </c:ser>
        <c:ser>
          <c:idx val="1"/>
          <c:order val="1"/>
          <c:tx>
            <c:strRef>
              <c:f>Resumen!$F$1</c:f>
              <c:strCache>
                <c:ptCount val="1"/>
                <c:pt idx="0">
                  <c:v>% Aprobados</c:v>
                </c:pt>
              </c:strCache>
            </c:strRef>
          </c:tx>
          <c:spPr>
            <a:solidFill>
              <a:srgbClr val="2E753E"/>
            </a:solidFill>
            <a:ln w="12600">
              <a:solidFill>
                <a:srgbClr val="143214"/>
              </a:solidFill>
              <a:round/>
            </a:ln>
          </c:spPr>
          <c:invertIfNegative val="0"/>
          <c:dLbls>
            <c:spPr>
              <a:noFill/>
              <a:ln>
                <a:noFill/>
              </a:ln>
              <a:effectLst/>
            </c:spPr>
            <c:txPr>
              <a:bodyPr rot="-5400000" wrap="square"/>
              <a:lstStyle/>
              <a:p>
                <a:pPr>
                  <a:defRPr sz="850" b="1" u="none" strike="noStrike">
                    <a:solidFill>
                      <a:srgbClr val="404040"/>
                    </a:solidFill>
                    <a:uFillTx/>
                    <a:latin typeface="Segoe UI"/>
                    <a:ea typeface="Segoe U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Resumen!$A$2:$A$7</c:f>
              <c:strCache>
                <c:ptCount val="6"/>
                <c:pt idx="0">
                  <c:v>Chorrera-El Torno</c:v>
                </c:pt>
                <c:pt idx="1">
                  <c:v>Justo Arosemena</c:v>
                </c:pt>
                <c:pt idx="2">
                  <c:v>Llanos Sanchez-Pocrí</c:v>
                </c:pt>
                <c:pt idx="3">
                  <c:v>Panamá III- La Floresta</c:v>
                </c:pt>
                <c:pt idx="4">
                  <c:v>Santiago II</c:v>
                </c:pt>
                <c:pt idx="5">
                  <c:v>El Coco II</c:v>
                </c:pt>
              </c:strCache>
            </c:strRef>
          </c:cat>
          <c:val>
            <c:numRef>
              <c:f>Resumen!$F$2:$F$7</c:f>
              <c:numCache>
                <c:formatCode>0.00%</c:formatCode>
                <c:ptCount val="6"/>
                <c:pt idx="0">
                  <c:v>0.21052631578947401</c:v>
                </c:pt>
                <c:pt idx="1">
                  <c:v>5.6603773584905703E-2</c:v>
                </c:pt>
                <c:pt idx="3">
                  <c:v>1.2345679012345699E-2</c:v>
                </c:pt>
              </c:numCache>
            </c:numRef>
          </c:val>
          <c:extLst>
            <c:ext xmlns:c16="http://schemas.microsoft.com/office/drawing/2014/chart" uri="{C3380CC4-5D6E-409C-BE32-E72D297353CC}">
              <c16:uniqueId val="{00000001-2607-415A-8B3C-3BABAFAA3B10}"/>
            </c:ext>
          </c:extLst>
        </c:ser>
        <c:ser>
          <c:idx val="2"/>
          <c:order val="2"/>
          <c:tx>
            <c:strRef>
              <c:f>Resumen!$H$1</c:f>
              <c:strCache>
                <c:ptCount val="1"/>
                <c:pt idx="0">
                  <c:v>% En revisión</c:v>
                </c:pt>
              </c:strCache>
            </c:strRef>
          </c:tx>
          <c:spPr>
            <a:solidFill>
              <a:srgbClr val="A5A5A5"/>
            </a:solidFill>
            <a:ln w="12600">
              <a:solidFill>
                <a:srgbClr val="787878"/>
              </a:solidFill>
              <a:round/>
            </a:ln>
          </c:spPr>
          <c:invertIfNegative val="0"/>
          <c:dLbls>
            <c:spPr>
              <a:noFill/>
              <a:ln>
                <a:noFill/>
              </a:ln>
              <a:effectLst/>
            </c:spPr>
            <c:txPr>
              <a:bodyPr rot="-5400000" wrap="square"/>
              <a:lstStyle/>
              <a:p>
                <a:pPr>
                  <a:defRPr sz="850" b="1" u="none" strike="noStrike">
                    <a:solidFill>
                      <a:srgbClr val="404040"/>
                    </a:solidFill>
                    <a:uFillTx/>
                    <a:latin typeface="Segoe UI"/>
                    <a:ea typeface="Segoe U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Resumen!$A$2:$A$7</c:f>
              <c:strCache>
                <c:ptCount val="6"/>
                <c:pt idx="0">
                  <c:v>Chorrera-El Torno</c:v>
                </c:pt>
                <c:pt idx="1">
                  <c:v>Justo Arosemena</c:v>
                </c:pt>
                <c:pt idx="2">
                  <c:v>Llanos Sanchez-Pocrí</c:v>
                </c:pt>
                <c:pt idx="3">
                  <c:v>Panamá III- La Floresta</c:v>
                </c:pt>
                <c:pt idx="4">
                  <c:v>Santiago II</c:v>
                </c:pt>
                <c:pt idx="5">
                  <c:v>El Coco II</c:v>
                </c:pt>
              </c:strCache>
            </c:strRef>
          </c:cat>
          <c:val>
            <c:numRef>
              <c:f>Resumen!$H$2:$H$7</c:f>
              <c:numCache>
                <c:formatCode>0.00%</c:formatCode>
                <c:ptCount val="6"/>
                <c:pt idx="0">
                  <c:v>0.13157894736842099</c:v>
                </c:pt>
                <c:pt idx="1">
                  <c:v>5.6603773584905703E-2</c:v>
                </c:pt>
                <c:pt idx="2">
                  <c:v>6.1728395061728399E-2</c:v>
                </c:pt>
                <c:pt idx="4">
                  <c:v>6.1728395061728399E-2</c:v>
                </c:pt>
                <c:pt idx="5">
                  <c:v>0.75</c:v>
                </c:pt>
              </c:numCache>
            </c:numRef>
          </c:val>
          <c:extLst>
            <c:ext xmlns:c16="http://schemas.microsoft.com/office/drawing/2014/chart" uri="{C3380CC4-5D6E-409C-BE32-E72D297353CC}">
              <c16:uniqueId val="{00000002-2607-415A-8B3C-3BABAFAA3B10}"/>
            </c:ext>
          </c:extLst>
        </c:ser>
        <c:ser>
          <c:idx val="3"/>
          <c:order val="3"/>
          <c:tx>
            <c:strRef>
              <c:f>Resumen!$J$1</c:f>
              <c:strCache>
                <c:ptCount val="1"/>
                <c:pt idx="0">
                  <c:v>% En proceso</c:v>
                </c:pt>
              </c:strCache>
            </c:strRef>
          </c:tx>
          <c:spPr>
            <a:solidFill>
              <a:srgbClr val="284678"/>
            </a:solidFill>
            <a:ln w="12600">
              <a:solidFill>
                <a:srgbClr val="142850"/>
              </a:solidFill>
              <a:round/>
            </a:ln>
          </c:spPr>
          <c:invertIfNegative val="0"/>
          <c:dLbls>
            <c:spPr>
              <a:noFill/>
              <a:ln>
                <a:noFill/>
              </a:ln>
              <a:effectLst/>
            </c:spPr>
            <c:txPr>
              <a:bodyPr rot="-5400000" wrap="square"/>
              <a:lstStyle/>
              <a:p>
                <a:pPr>
                  <a:defRPr sz="850" b="1" u="none" strike="noStrike">
                    <a:solidFill>
                      <a:srgbClr val="404040"/>
                    </a:solidFill>
                    <a:uFillTx/>
                    <a:latin typeface="Segoe UI"/>
                    <a:ea typeface="Segoe U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Resumen!$A$2:$A$7</c:f>
              <c:strCache>
                <c:ptCount val="6"/>
                <c:pt idx="0">
                  <c:v>Chorrera-El Torno</c:v>
                </c:pt>
                <c:pt idx="1">
                  <c:v>Justo Arosemena</c:v>
                </c:pt>
                <c:pt idx="2">
                  <c:v>Llanos Sanchez-Pocrí</c:v>
                </c:pt>
                <c:pt idx="3">
                  <c:v>Panamá III- La Floresta</c:v>
                </c:pt>
                <c:pt idx="4">
                  <c:v>Santiago II</c:v>
                </c:pt>
                <c:pt idx="5">
                  <c:v>El Coco II</c:v>
                </c:pt>
              </c:strCache>
            </c:strRef>
          </c:cat>
          <c:val>
            <c:numRef>
              <c:f>Resumen!$J$2:$J$7</c:f>
              <c:numCache>
                <c:formatCode>0.00%</c:formatCode>
                <c:ptCount val="6"/>
                <c:pt idx="1">
                  <c:v>0.88679245283018904</c:v>
                </c:pt>
                <c:pt idx="2">
                  <c:v>0.92592592592592604</c:v>
                </c:pt>
                <c:pt idx="3">
                  <c:v>4.9382716049382699E-2</c:v>
                </c:pt>
              </c:numCache>
            </c:numRef>
          </c:val>
          <c:extLst>
            <c:ext xmlns:c16="http://schemas.microsoft.com/office/drawing/2014/chart" uri="{C3380CC4-5D6E-409C-BE32-E72D297353CC}">
              <c16:uniqueId val="{00000003-2607-415A-8B3C-3BABAFAA3B10}"/>
            </c:ext>
          </c:extLst>
        </c:ser>
        <c:ser>
          <c:idx val="4"/>
          <c:order val="4"/>
          <c:tx>
            <c:strRef>
              <c:f>Resumen!$L$1</c:f>
              <c:strCache>
                <c:ptCount val="1"/>
                <c:pt idx="0">
                  <c:v>% Atención comentarios</c:v>
                </c:pt>
              </c:strCache>
            </c:strRef>
          </c:tx>
          <c:spPr>
            <a:solidFill>
              <a:srgbClr val="BE552D"/>
            </a:solidFill>
            <a:ln w="12600">
              <a:solidFill>
                <a:srgbClr val="823214"/>
              </a:solidFill>
              <a:round/>
            </a:ln>
          </c:spPr>
          <c:invertIfNegative val="0"/>
          <c:dLbls>
            <c:spPr>
              <a:noFill/>
              <a:ln>
                <a:noFill/>
              </a:ln>
              <a:effectLst/>
            </c:spPr>
            <c:txPr>
              <a:bodyPr rot="-5400000" wrap="square"/>
              <a:lstStyle/>
              <a:p>
                <a:pPr>
                  <a:defRPr sz="850" b="1" u="none" strike="noStrike">
                    <a:solidFill>
                      <a:srgbClr val="404040"/>
                    </a:solidFill>
                    <a:uFillTx/>
                    <a:latin typeface="Segoe UI"/>
                    <a:ea typeface="Segoe U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Resumen!$A$2:$A$7</c:f>
              <c:strCache>
                <c:ptCount val="6"/>
                <c:pt idx="0">
                  <c:v>Chorrera-El Torno</c:v>
                </c:pt>
                <c:pt idx="1">
                  <c:v>Justo Arosemena</c:v>
                </c:pt>
                <c:pt idx="2">
                  <c:v>Llanos Sanchez-Pocrí</c:v>
                </c:pt>
                <c:pt idx="3">
                  <c:v>Panamá III- La Floresta</c:v>
                </c:pt>
                <c:pt idx="4">
                  <c:v>Santiago II</c:v>
                </c:pt>
                <c:pt idx="5">
                  <c:v>El Coco II</c:v>
                </c:pt>
              </c:strCache>
            </c:strRef>
          </c:cat>
          <c:val>
            <c:numRef>
              <c:f>Resumen!$L$2:$L$7</c:f>
              <c:numCache>
                <c:formatCode>0.00%</c:formatCode>
                <c:ptCount val="6"/>
                <c:pt idx="0">
                  <c:v>0.22368421052631601</c:v>
                </c:pt>
              </c:numCache>
            </c:numRef>
          </c:val>
          <c:extLst>
            <c:ext xmlns:c16="http://schemas.microsoft.com/office/drawing/2014/chart" uri="{C3380CC4-5D6E-409C-BE32-E72D297353CC}">
              <c16:uniqueId val="{00000004-2607-415A-8B3C-3BABAFAA3B10}"/>
            </c:ext>
          </c:extLst>
        </c:ser>
        <c:dLbls>
          <c:showLegendKey val="0"/>
          <c:showVal val="0"/>
          <c:showCatName val="0"/>
          <c:showSerName val="0"/>
          <c:showPercent val="0"/>
          <c:showBubbleSize val="0"/>
        </c:dLbls>
        <c:gapWidth val="150"/>
        <c:overlap val="-90"/>
        <c:axId val="26109546"/>
        <c:axId val="44004820"/>
      </c:barChart>
      <c:catAx>
        <c:axId val="26109546"/>
        <c:scaling>
          <c:orientation val="minMax"/>
        </c:scaling>
        <c:delete val="0"/>
        <c:axPos val="b"/>
        <c:majorGridlines>
          <c:spPr>
            <a:ln w="9360">
              <a:solidFill>
                <a:srgbClr val="DCDCDC"/>
              </a:solidFill>
              <a:round/>
            </a:ln>
          </c:spPr>
        </c:majorGridlines>
        <c:numFmt formatCode="General" sourceLinked="0"/>
        <c:majorTickMark val="none"/>
        <c:minorTickMark val="none"/>
        <c:tickLblPos val="nextTo"/>
        <c:spPr>
          <a:ln w="9360">
            <a:solidFill>
              <a:srgbClr val="D9D9D9"/>
            </a:solidFill>
            <a:round/>
          </a:ln>
        </c:spPr>
        <c:txPr>
          <a:bodyPr/>
          <a:lstStyle/>
          <a:p>
            <a:pPr>
              <a:defRPr sz="800" b="0" u="none" strike="noStrike" spc="116">
                <a:solidFill>
                  <a:srgbClr val="595959"/>
                </a:solidFill>
                <a:uFillTx/>
                <a:latin typeface="Calibri"/>
              </a:defRPr>
            </a:pPr>
            <a:endParaRPr lang="en-US"/>
          </a:p>
        </c:txPr>
        <c:crossAx val="44004820"/>
        <c:crosses val="autoZero"/>
        <c:auto val="1"/>
        <c:lblAlgn val="ctr"/>
        <c:lblOffset val="100"/>
        <c:noMultiLvlLbl val="0"/>
      </c:catAx>
      <c:valAx>
        <c:axId val="44004820"/>
        <c:scaling>
          <c:orientation val="minMax"/>
        </c:scaling>
        <c:delete val="1"/>
        <c:axPos val="l"/>
        <c:numFmt formatCode="0.00%" sourceLinked="1"/>
        <c:majorTickMark val="none"/>
        <c:minorTickMark val="none"/>
        <c:tickLblPos val="nextTo"/>
        <c:crossAx val="26109546"/>
        <c:crosses val="autoZero"/>
        <c:crossBetween val="between"/>
      </c:valAx>
      <c:spPr>
        <a:solidFill>
          <a:srgbClr val="FFFFFF"/>
        </a:solidFill>
        <a:ln w="0">
          <a:noFill/>
        </a:ln>
      </c:spPr>
    </c:plotArea>
    <c:legend>
      <c:legendPos val="t"/>
      <c:overlay val="0"/>
      <c:spPr>
        <a:noFill/>
        <a:ln w="0">
          <a:noFill/>
        </a:ln>
      </c:spPr>
      <c:txPr>
        <a:bodyPr/>
        <a:lstStyle/>
        <a:p>
          <a:pPr>
            <a:defRPr sz="850" b="0" u="none" strike="noStrike">
              <a:solidFill>
                <a:srgbClr val="404040"/>
              </a:solidFill>
              <a:uFillTx/>
              <a:latin typeface="Segoe UI"/>
            </a:defRPr>
          </a:pPr>
          <a:endParaRPr lang="en-US"/>
        </a:p>
      </c:txPr>
    </c:legend>
    <c:plotVisOnly val="1"/>
    <c:dispBlanksAs val="gap"/>
    <c:showDLblsOverMax val="1"/>
  </c:chart>
  <c:spPr>
    <a:solidFill>
      <a:srgbClr val="FAFAFA"/>
    </a:solidFill>
    <a:ln w="936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635040</xdr:colOff>
      <xdr:row>9</xdr:row>
      <xdr:rowOff>0</xdr:rowOff>
    </xdr:from>
    <xdr:to>
      <xdr:col>10</xdr:col>
      <xdr:colOff>333360</xdr:colOff>
      <xdr:row>29</xdr:row>
      <xdr:rowOff>147600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Tema de 2022">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43"/>
  <sheetViews>
    <sheetView showGridLines="0" topLeftCell="A17" zoomScaleNormal="100" workbookViewId="0">
      <selection activeCell="J18" sqref="J18"/>
    </sheetView>
  </sheetViews>
  <sheetFormatPr defaultColWidth="8.7109375" defaultRowHeight="15"/>
  <cols>
    <col min="1" max="1" width="2" customWidth="1"/>
    <col min="2" max="2" width="18" customWidth="1"/>
    <col min="3" max="3" width="22" customWidth="1"/>
    <col min="4" max="4" width="30" customWidth="1"/>
    <col min="5" max="5" width="19" customWidth="1"/>
    <col min="6" max="6" width="14" customWidth="1"/>
  </cols>
  <sheetData>
    <row r="1" spans="1:6" ht="39.75" customHeight="1">
      <c r="A1" s="140" t="s">
        <v>0</v>
      </c>
      <c r="B1" s="140"/>
      <c r="C1" s="140"/>
      <c r="D1" s="140"/>
      <c r="E1" s="140"/>
      <c r="F1" s="140"/>
    </row>
    <row r="2" spans="1:6" ht="21.75" customHeight="1">
      <c r="A2" s="141" t="s">
        <v>1</v>
      </c>
      <c r="B2" s="141"/>
      <c r="C2" s="141"/>
      <c r="D2" s="141"/>
      <c r="E2" s="141"/>
      <c r="F2" s="141"/>
    </row>
    <row r="4" spans="1:6" ht="27.75" customHeight="1">
      <c r="A4" s="136" t="s">
        <v>2</v>
      </c>
      <c r="B4" s="136"/>
      <c r="C4" s="136"/>
      <c r="D4" s="136"/>
      <c r="E4" s="136"/>
      <c r="F4" s="136"/>
    </row>
    <row r="5" spans="1:6" ht="18" customHeight="1">
      <c r="A5" s="142" t="s">
        <v>3</v>
      </c>
      <c r="B5" s="142"/>
      <c r="C5" s="142"/>
      <c r="D5" s="142"/>
      <c r="E5" s="142"/>
      <c r="F5" s="142"/>
    </row>
    <row r="6" spans="1:6" ht="21.75" customHeight="1">
      <c r="B6" s="3" t="s">
        <v>4</v>
      </c>
      <c r="C6" s="138" t="s">
        <v>5</v>
      </c>
      <c r="D6" s="138"/>
      <c r="E6" s="138"/>
      <c r="F6" s="3" t="s">
        <v>6</v>
      </c>
    </row>
    <row r="7" spans="1:6" ht="25.5" customHeight="1">
      <c r="B7" s="4" t="s">
        <v>7</v>
      </c>
      <c r="C7" s="139" t="s">
        <v>8</v>
      </c>
      <c r="D7" s="139"/>
      <c r="E7" s="139"/>
      <c r="F7" s="5" t="s">
        <v>9</v>
      </c>
    </row>
    <row r="8" spans="1:6" ht="25.5" customHeight="1">
      <c r="B8" s="6" t="s">
        <v>10</v>
      </c>
      <c r="C8" s="139" t="s">
        <v>11</v>
      </c>
      <c r="D8" s="139"/>
      <c r="E8" s="139"/>
      <c r="F8" s="5" t="s">
        <v>12</v>
      </c>
    </row>
    <row r="9" spans="1:6" ht="25.5" customHeight="1">
      <c r="B9" s="7" t="s">
        <v>13</v>
      </c>
      <c r="C9" s="139" t="s">
        <v>14</v>
      </c>
      <c r="D9" s="139"/>
      <c r="E9" s="139"/>
      <c r="F9" s="5" t="s">
        <v>9</v>
      </c>
    </row>
    <row r="10" spans="1:6" ht="25.5" customHeight="1">
      <c r="B10" s="8" t="s">
        <v>15</v>
      </c>
      <c r="C10" s="139" t="s">
        <v>16</v>
      </c>
      <c r="D10" s="139"/>
      <c r="E10" s="139"/>
      <c r="F10" s="9" t="s">
        <v>17</v>
      </c>
    </row>
    <row r="11" spans="1:6" ht="25.5" customHeight="1">
      <c r="B11" s="10" t="s">
        <v>18</v>
      </c>
      <c r="C11" s="139" t="s">
        <v>19</v>
      </c>
      <c r="D11" s="139"/>
      <c r="E11" s="139"/>
      <c r="F11" s="9" t="s">
        <v>17</v>
      </c>
    </row>
    <row r="13" spans="1:6" ht="27.75" customHeight="1">
      <c r="A13" s="136" t="s">
        <v>20</v>
      </c>
      <c r="B13" s="136"/>
      <c r="C13" s="136"/>
      <c r="D13" s="136"/>
      <c r="E13" s="136"/>
      <c r="F13" s="136"/>
    </row>
    <row r="14" spans="1:6" ht="24" customHeight="1">
      <c r="B14" s="3" t="s">
        <v>21</v>
      </c>
      <c r="C14" s="3" t="s">
        <v>22</v>
      </c>
      <c r="D14" s="3" t="s">
        <v>23</v>
      </c>
      <c r="E14" s="3" t="s">
        <v>24</v>
      </c>
      <c r="F14" s="3" t="s">
        <v>4</v>
      </c>
    </row>
    <row r="15" spans="1:6" ht="45" customHeight="1">
      <c r="B15" s="11">
        <v>1</v>
      </c>
      <c r="C15" s="12" t="s">
        <v>25</v>
      </c>
      <c r="D15" s="2" t="s">
        <v>26</v>
      </c>
      <c r="E15" s="13" t="s">
        <v>27</v>
      </c>
      <c r="F15" s="14" t="s">
        <v>28</v>
      </c>
    </row>
    <row r="16" spans="1:6" ht="45" customHeight="1">
      <c r="B16" s="15">
        <v>2</v>
      </c>
      <c r="C16" s="16" t="s">
        <v>29</v>
      </c>
      <c r="D16" s="1" t="s">
        <v>30</v>
      </c>
      <c r="E16" s="17" t="s">
        <v>31</v>
      </c>
      <c r="F16" s="18" t="s">
        <v>32</v>
      </c>
    </row>
    <row r="17" spans="1:6" ht="45" customHeight="1">
      <c r="B17" s="11">
        <v>3</v>
      </c>
      <c r="C17" s="12" t="s">
        <v>33</v>
      </c>
      <c r="D17" s="2" t="s">
        <v>34</v>
      </c>
      <c r="E17" s="13" t="s">
        <v>35</v>
      </c>
      <c r="F17" s="14" t="s">
        <v>32</v>
      </c>
    </row>
    <row r="18" spans="1:6" ht="45" customHeight="1">
      <c r="B18" s="15">
        <v>4</v>
      </c>
      <c r="C18" s="16" t="s">
        <v>36</v>
      </c>
      <c r="D18" s="1" t="s">
        <v>37</v>
      </c>
      <c r="E18" s="17" t="s">
        <v>38</v>
      </c>
      <c r="F18" s="18" t="s">
        <v>39</v>
      </c>
    </row>
    <row r="19" spans="1:6" ht="45" customHeight="1">
      <c r="B19" s="11">
        <v>5</v>
      </c>
      <c r="C19" s="12" t="s">
        <v>40</v>
      </c>
      <c r="D19" s="2" t="s">
        <v>41</v>
      </c>
      <c r="E19" s="13" t="s">
        <v>42</v>
      </c>
      <c r="F19" s="14" t="s">
        <v>43</v>
      </c>
    </row>
    <row r="20" spans="1:6" ht="45" customHeight="1">
      <c r="B20" s="15">
        <v>6</v>
      </c>
      <c r="C20" s="16" t="s">
        <v>44</v>
      </c>
      <c r="D20" s="1" t="s">
        <v>45</v>
      </c>
      <c r="E20" s="17" t="s">
        <v>46</v>
      </c>
      <c r="F20" s="18" t="s">
        <v>43</v>
      </c>
    </row>
    <row r="21" spans="1:6" ht="45" customHeight="1">
      <c r="B21" s="11">
        <v>7</v>
      </c>
      <c r="C21" s="12" t="s">
        <v>47</v>
      </c>
      <c r="D21" s="2" t="s">
        <v>48</v>
      </c>
      <c r="E21" s="13" t="s">
        <v>38</v>
      </c>
      <c r="F21" s="14" t="s">
        <v>39</v>
      </c>
    </row>
    <row r="22" spans="1:6" ht="45" customHeight="1">
      <c r="B22" s="15">
        <v>8</v>
      </c>
      <c r="C22" s="16" t="s">
        <v>49</v>
      </c>
      <c r="D22" s="1" t="s">
        <v>50</v>
      </c>
      <c r="E22" s="17" t="s">
        <v>51</v>
      </c>
      <c r="F22" s="18" t="s">
        <v>52</v>
      </c>
    </row>
    <row r="23" spans="1:6" ht="45" customHeight="1">
      <c r="B23" s="11">
        <v>9</v>
      </c>
      <c r="C23" s="12" t="s">
        <v>53</v>
      </c>
      <c r="D23" s="2" t="s">
        <v>54</v>
      </c>
      <c r="E23" s="13" t="s">
        <v>55</v>
      </c>
      <c r="F23" s="14" t="s">
        <v>52</v>
      </c>
    </row>
    <row r="25" spans="1:6" ht="27.75" customHeight="1">
      <c r="A25" s="136" t="s">
        <v>56</v>
      </c>
      <c r="B25" s="136"/>
      <c r="C25" s="136"/>
      <c r="D25" s="136"/>
      <c r="E25" s="136"/>
      <c r="F25" s="136"/>
    </row>
    <row r="26" spans="1:6" ht="21.75" customHeight="1">
      <c r="B26" s="3" t="s">
        <v>21</v>
      </c>
      <c r="C26" s="3" t="s">
        <v>57</v>
      </c>
      <c r="D26" s="138" t="s">
        <v>58</v>
      </c>
      <c r="E26" s="138"/>
      <c r="F26" s="138"/>
    </row>
    <row r="27" spans="1:6" ht="60" customHeight="1">
      <c r="B27" s="19" t="s">
        <v>59</v>
      </c>
      <c r="C27" s="20" t="s">
        <v>60</v>
      </c>
      <c r="D27" s="134" t="s">
        <v>61</v>
      </c>
      <c r="E27" s="134"/>
      <c r="F27" s="134"/>
    </row>
    <row r="28" spans="1:6" ht="60" customHeight="1">
      <c r="B28" s="21" t="s">
        <v>62</v>
      </c>
      <c r="C28" s="22" t="s">
        <v>63</v>
      </c>
      <c r="D28" s="135" t="s">
        <v>64</v>
      </c>
      <c r="E28" s="135"/>
      <c r="F28" s="135"/>
    </row>
    <row r="29" spans="1:6" ht="60" customHeight="1">
      <c r="B29" s="19" t="s">
        <v>65</v>
      </c>
      <c r="C29" s="20" t="s">
        <v>66</v>
      </c>
      <c r="D29" s="134" t="s">
        <v>67</v>
      </c>
      <c r="E29" s="134"/>
      <c r="F29" s="134"/>
    </row>
    <row r="30" spans="1:6" ht="60" customHeight="1">
      <c r="B30" s="21" t="s">
        <v>68</v>
      </c>
      <c r="C30" s="22" t="s">
        <v>69</v>
      </c>
      <c r="D30" s="135" t="s">
        <v>70</v>
      </c>
      <c r="E30" s="135"/>
      <c r="F30" s="135"/>
    </row>
    <row r="31" spans="1:6" ht="60" customHeight="1">
      <c r="B31" s="19" t="s">
        <v>71</v>
      </c>
      <c r="C31" s="20" t="s">
        <v>72</v>
      </c>
      <c r="D31" s="134" t="s">
        <v>73</v>
      </c>
      <c r="E31" s="134"/>
      <c r="F31" s="134"/>
    </row>
    <row r="33" spans="1:6" ht="27.75" customHeight="1">
      <c r="A33" s="136" t="s">
        <v>74</v>
      </c>
      <c r="B33" s="136"/>
      <c r="C33" s="136"/>
      <c r="D33" s="136"/>
      <c r="E33" s="136"/>
      <c r="F33" s="136"/>
    </row>
    <row r="34" spans="1:6" ht="34.5" customHeight="1">
      <c r="A34" s="137" t="s">
        <v>75</v>
      </c>
      <c r="B34" s="137"/>
      <c r="C34" s="137"/>
      <c r="D34" s="137"/>
      <c r="E34" s="137"/>
      <c r="F34" s="137"/>
    </row>
    <row r="35" spans="1:6" ht="24" customHeight="1">
      <c r="B35" s="132" t="s">
        <v>76</v>
      </c>
      <c r="C35" s="132"/>
      <c r="D35" s="132"/>
      <c r="E35" s="133" t="s">
        <v>77</v>
      </c>
      <c r="F35" s="133"/>
    </row>
    <row r="36" spans="1:6" ht="21.75" customHeight="1">
      <c r="B36" s="131" t="s">
        <v>78</v>
      </c>
      <c r="C36" s="131"/>
      <c r="D36" s="131"/>
      <c r="E36" s="131" t="s">
        <v>79</v>
      </c>
      <c r="F36" s="131"/>
    </row>
    <row r="37" spans="1:6" ht="21.75" customHeight="1">
      <c r="B37" s="131" t="s">
        <v>80</v>
      </c>
      <c r="C37" s="131"/>
      <c r="D37" s="131"/>
      <c r="E37" s="131" t="s">
        <v>81</v>
      </c>
      <c r="F37" s="131"/>
    </row>
    <row r="38" spans="1:6" ht="21.75" customHeight="1">
      <c r="B38" s="131" t="s">
        <v>82</v>
      </c>
      <c r="C38" s="131"/>
      <c r="D38" s="131"/>
      <c r="E38" s="131" t="s">
        <v>83</v>
      </c>
      <c r="F38" s="131"/>
    </row>
    <row r="39" spans="1:6" ht="21.75" customHeight="1">
      <c r="B39" s="131" t="s">
        <v>84</v>
      </c>
      <c r="C39" s="131"/>
      <c r="D39" s="131"/>
      <c r="E39" s="131" t="s">
        <v>85</v>
      </c>
      <c r="F39" s="131"/>
    </row>
    <row r="40" spans="1:6" ht="21.75" customHeight="1">
      <c r="B40" s="131" t="s">
        <v>86</v>
      </c>
      <c r="C40" s="131"/>
      <c r="D40" s="131"/>
      <c r="E40" s="131" t="s">
        <v>87</v>
      </c>
      <c r="F40" s="131"/>
    </row>
    <row r="41" spans="1:6" ht="21.75" customHeight="1">
      <c r="B41" s="131" t="s">
        <v>88</v>
      </c>
      <c r="C41" s="131"/>
      <c r="D41" s="131"/>
      <c r="E41" s="131" t="s">
        <v>89</v>
      </c>
      <c r="F41" s="131"/>
    </row>
    <row r="42" spans="1:6" ht="21.75" customHeight="1">
      <c r="B42" s="131" t="s">
        <v>90</v>
      </c>
      <c r="C42" s="131"/>
      <c r="D42" s="131"/>
      <c r="E42" s="131" t="s">
        <v>91</v>
      </c>
      <c r="F42" s="131"/>
    </row>
    <row r="43" spans="1:6" ht="21.75" customHeight="1">
      <c r="B43" s="131" t="s">
        <v>92</v>
      </c>
      <c r="C43" s="131"/>
      <c r="D43" s="131"/>
    </row>
  </sheetData>
  <mergeCells count="37">
    <mergeCell ref="A1:F1"/>
    <mergeCell ref="A2:F2"/>
    <mergeCell ref="A4:F4"/>
    <mergeCell ref="A5:F5"/>
    <mergeCell ref="C6:E6"/>
    <mergeCell ref="C7:E7"/>
    <mergeCell ref="C8:E8"/>
    <mergeCell ref="C9:E9"/>
    <mergeCell ref="C10:E10"/>
    <mergeCell ref="C11:E11"/>
    <mergeCell ref="A13:F13"/>
    <mergeCell ref="A25:F25"/>
    <mergeCell ref="D26:F26"/>
    <mergeCell ref="D27:F27"/>
    <mergeCell ref="D28:F28"/>
    <mergeCell ref="D29:F29"/>
    <mergeCell ref="D30:F30"/>
    <mergeCell ref="D31:F31"/>
    <mergeCell ref="A33:F33"/>
    <mergeCell ref="A34:F34"/>
    <mergeCell ref="B35:D35"/>
    <mergeCell ref="E35:F35"/>
    <mergeCell ref="B36:D36"/>
    <mergeCell ref="E36:F36"/>
    <mergeCell ref="B37:D37"/>
    <mergeCell ref="E37:F37"/>
    <mergeCell ref="B38:D38"/>
    <mergeCell ref="E38:F38"/>
    <mergeCell ref="B39:D39"/>
    <mergeCell ref="E39:F39"/>
    <mergeCell ref="B40:D40"/>
    <mergeCell ref="E40:F40"/>
    <mergeCell ref="B41:D41"/>
    <mergeCell ref="E41:F41"/>
    <mergeCell ref="B42:D42"/>
    <mergeCell ref="E42:F42"/>
    <mergeCell ref="B43:D43"/>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29"/>
  <sheetViews>
    <sheetView showGridLines="0" topLeftCell="A9" zoomScaleNormal="100" workbookViewId="0">
      <selection activeCell="D10" sqref="D10"/>
    </sheetView>
  </sheetViews>
  <sheetFormatPr defaultColWidth="8.7109375" defaultRowHeight="15"/>
  <cols>
    <col min="1" max="1" width="4" customWidth="1"/>
    <col min="2" max="2" width="100" customWidth="1"/>
    <col min="3" max="3" width="60" customWidth="1"/>
  </cols>
  <sheetData>
    <row r="1" spans="1:9" ht="15" customHeight="1">
      <c r="A1" s="23"/>
      <c r="B1" s="23"/>
      <c r="C1" s="23"/>
      <c r="D1" s="23"/>
      <c r="E1" s="23"/>
      <c r="F1" s="23"/>
      <c r="G1" s="23"/>
      <c r="H1" s="23"/>
      <c r="I1" s="23"/>
    </row>
    <row r="2" spans="1:9" ht="39.75" customHeight="1">
      <c r="A2" s="23"/>
      <c r="B2" s="24" t="s">
        <v>93</v>
      </c>
      <c r="C2" s="23"/>
      <c r="D2" s="23"/>
      <c r="E2" s="23"/>
      <c r="F2" s="23"/>
      <c r="G2" s="23"/>
      <c r="H2" s="23"/>
      <c r="I2" s="23"/>
    </row>
    <row r="3" spans="1:9" ht="15" customHeight="1">
      <c r="A3" s="23"/>
      <c r="B3" s="23"/>
      <c r="C3" s="23"/>
      <c r="D3" s="23"/>
      <c r="E3" s="23"/>
      <c r="F3" s="23"/>
      <c r="G3" s="23"/>
      <c r="H3" s="23"/>
      <c r="I3" s="23"/>
    </row>
    <row r="4" spans="1:9" ht="15.75" customHeight="1">
      <c r="A4" s="23"/>
      <c r="B4" s="25" t="s">
        <v>94</v>
      </c>
      <c r="C4" s="23"/>
      <c r="D4" s="23"/>
      <c r="E4" s="23"/>
      <c r="F4" s="23"/>
      <c r="G4" s="23"/>
      <c r="H4" s="23"/>
      <c r="I4" s="23"/>
    </row>
    <row r="5" spans="1:9" ht="15" customHeight="1">
      <c r="A5" s="26" t="s">
        <v>95</v>
      </c>
      <c r="B5" s="27"/>
      <c r="C5" s="23"/>
      <c r="D5" s="23"/>
      <c r="E5" s="23"/>
      <c r="F5" s="23"/>
      <c r="G5" s="23"/>
      <c r="H5" s="23"/>
      <c r="I5" s="23"/>
    </row>
    <row r="6" spans="1:9" ht="21.75" customHeight="1">
      <c r="A6" s="23"/>
      <c r="B6" s="28" t="s">
        <v>96</v>
      </c>
      <c r="C6" s="23"/>
      <c r="D6" s="23"/>
      <c r="E6" s="23"/>
      <c r="F6" s="23"/>
      <c r="G6" s="23"/>
      <c r="H6" s="23"/>
      <c r="I6" s="23"/>
    </row>
    <row r="7" spans="1:9" ht="21.75" customHeight="1">
      <c r="A7" s="23"/>
      <c r="B7" s="28" t="s">
        <v>97</v>
      </c>
      <c r="C7" s="23"/>
      <c r="D7" s="23"/>
      <c r="E7" s="23"/>
      <c r="F7" s="23"/>
      <c r="G7" s="23"/>
      <c r="H7" s="23"/>
      <c r="I7" s="23"/>
    </row>
    <row r="8" spans="1:9" ht="21.75" customHeight="1">
      <c r="A8" s="23"/>
      <c r="B8" s="28" t="s">
        <v>98</v>
      </c>
      <c r="C8" s="23"/>
      <c r="D8" s="23"/>
      <c r="E8" s="23"/>
      <c r="F8" s="23"/>
      <c r="G8" s="23"/>
      <c r="H8" s="23"/>
      <c r="I8" s="23"/>
    </row>
    <row r="9" spans="1:9" ht="21.75" customHeight="1">
      <c r="A9" s="23"/>
      <c r="B9" s="28" t="s">
        <v>99</v>
      </c>
      <c r="C9" s="23"/>
      <c r="D9" s="23"/>
      <c r="E9" s="23"/>
      <c r="F9" s="23"/>
      <c r="G9" s="23"/>
      <c r="H9" s="23"/>
      <c r="I9" s="23"/>
    </row>
    <row r="10" spans="1:9" ht="21.75" customHeight="1">
      <c r="A10" s="23"/>
      <c r="B10" s="29" t="s">
        <v>100</v>
      </c>
      <c r="C10" s="23"/>
      <c r="D10" s="30"/>
      <c r="E10" s="23"/>
      <c r="F10" s="23"/>
      <c r="G10" s="23"/>
      <c r="H10" s="23"/>
      <c r="I10" s="23"/>
    </row>
    <row r="11" spans="1:9" ht="15" customHeight="1">
      <c r="A11" s="23"/>
      <c r="B11" s="23"/>
      <c r="C11" s="23"/>
      <c r="D11" s="23"/>
      <c r="E11" s="23"/>
      <c r="F11" s="23"/>
      <c r="G11" s="23"/>
      <c r="H11" s="23"/>
      <c r="I11" s="23"/>
    </row>
    <row r="12" spans="1:9" ht="60" customHeight="1">
      <c r="A12" s="23"/>
      <c r="B12" s="23"/>
      <c r="C12" s="23"/>
      <c r="D12" s="23"/>
      <c r="E12" s="23"/>
      <c r="F12" s="23"/>
      <c r="G12" s="23"/>
      <c r="H12" s="23"/>
      <c r="I12" s="23"/>
    </row>
    <row r="13" spans="1:9" ht="15" customHeight="1">
      <c r="A13" s="23"/>
      <c r="B13" s="23"/>
      <c r="C13" s="23"/>
      <c r="D13" s="23"/>
      <c r="E13" s="23"/>
      <c r="F13" s="23"/>
      <c r="G13" s="23"/>
      <c r="H13" s="23"/>
      <c r="I13" s="23"/>
    </row>
    <row r="14" spans="1:9" ht="15.75" customHeight="1">
      <c r="A14" s="23"/>
      <c r="B14" s="25" t="s">
        <v>101</v>
      </c>
      <c r="C14" s="23"/>
      <c r="D14" s="23"/>
      <c r="E14" s="23"/>
      <c r="F14" s="23"/>
      <c r="G14" s="23"/>
      <c r="H14" s="23"/>
      <c r="I14" s="23"/>
    </row>
    <row r="15" spans="1:9" ht="15" customHeight="1">
      <c r="A15" s="23"/>
      <c r="B15" s="31" t="s">
        <v>102</v>
      </c>
      <c r="C15" s="23"/>
      <c r="D15" s="30"/>
      <c r="E15" s="23"/>
      <c r="F15" s="23"/>
      <c r="G15" s="23"/>
      <c r="H15" s="23"/>
      <c r="I15" s="23"/>
    </row>
    <row r="16" spans="1:9" ht="15" customHeight="1">
      <c r="A16" s="23"/>
      <c r="B16" s="31" t="s">
        <v>103</v>
      </c>
      <c r="C16" s="23"/>
      <c r="D16" s="23"/>
      <c r="E16" s="23"/>
      <c r="F16" s="23"/>
      <c r="G16" s="23"/>
      <c r="H16" s="23"/>
      <c r="I16" s="23"/>
    </row>
    <row r="17" spans="1:9" ht="15" customHeight="1">
      <c r="A17" s="23"/>
      <c r="B17" s="31"/>
      <c r="C17" s="23"/>
      <c r="D17" s="23"/>
      <c r="E17" s="23"/>
      <c r="F17" s="23"/>
      <c r="G17" s="23"/>
      <c r="H17" s="23"/>
      <c r="I17" s="23"/>
    </row>
    <row r="18" spans="1:9" ht="15" customHeight="1">
      <c r="A18" s="23"/>
      <c r="B18" s="31" t="s">
        <v>104</v>
      </c>
      <c r="C18" s="23"/>
      <c r="D18" s="23"/>
      <c r="E18" s="23"/>
      <c r="F18" s="23"/>
      <c r="G18" s="23"/>
      <c r="H18" s="23"/>
      <c r="I18" s="23"/>
    </row>
    <row r="19" spans="1:9" ht="15" customHeight="1">
      <c r="A19" s="23"/>
      <c r="B19" s="31" t="s">
        <v>105</v>
      </c>
      <c r="C19" s="23"/>
      <c r="D19" s="23"/>
      <c r="E19" s="23"/>
      <c r="F19" s="23"/>
      <c r="G19" s="23"/>
      <c r="H19" s="23"/>
      <c r="I19" s="23"/>
    </row>
    <row r="20" spans="1:9" ht="15" customHeight="1">
      <c r="A20" s="23"/>
      <c r="B20" s="31" t="s">
        <v>106</v>
      </c>
      <c r="C20" s="23"/>
      <c r="D20" s="23"/>
      <c r="E20" s="23"/>
      <c r="F20" s="23"/>
      <c r="G20" s="23"/>
      <c r="H20" s="23"/>
      <c r="I20" s="23"/>
    </row>
    <row r="21" spans="1:9" ht="15" customHeight="1">
      <c r="A21" s="23"/>
      <c r="B21" s="31" t="s">
        <v>107</v>
      </c>
      <c r="C21" s="23"/>
      <c r="D21" s="23"/>
      <c r="E21" s="23"/>
      <c r="F21" s="23"/>
      <c r="G21" s="23"/>
      <c r="H21" s="23"/>
      <c r="I21" s="23"/>
    </row>
    <row r="22" spans="1:9" ht="15" customHeight="1">
      <c r="A22" s="23"/>
      <c r="B22" s="23"/>
      <c r="C22" s="23"/>
      <c r="D22" s="23"/>
      <c r="E22" s="23"/>
      <c r="F22" s="23"/>
      <c r="G22" s="23"/>
      <c r="H22" s="23"/>
      <c r="I22" s="23"/>
    </row>
    <row r="23" spans="1:9" ht="15" customHeight="1">
      <c r="A23" s="23"/>
      <c r="B23" s="25" t="s">
        <v>108</v>
      </c>
      <c r="C23" s="23"/>
      <c r="D23" s="23"/>
      <c r="E23" s="23"/>
      <c r="F23" s="23"/>
      <c r="G23" s="23"/>
      <c r="H23" s="23"/>
      <c r="I23" s="23"/>
    </row>
    <row r="24" spans="1:9" ht="21.75" customHeight="1">
      <c r="A24" s="23"/>
      <c r="B24" s="32" t="s">
        <v>109</v>
      </c>
      <c r="C24" s="31" t="s">
        <v>110</v>
      </c>
      <c r="D24" s="23"/>
      <c r="E24" s="23"/>
      <c r="F24" s="23"/>
      <c r="G24" s="23"/>
      <c r="H24" s="23"/>
      <c r="I24" s="23"/>
    </row>
    <row r="25" spans="1:9" ht="21.75" customHeight="1">
      <c r="A25" s="23"/>
      <c r="B25" s="33" t="s">
        <v>111</v>
      </c>
      <c r="C25" s="31" t="s">
        <v>112</v>
      </c>
      <c r="D25" s="23"/>
      <c r="E25" s="23"/>
      <c r="F25" s="23"/>
      <c r="G25" s="23"/>
      <c r="H25" s="23"/>
      <c r="I25" s="23"/>
    </row>
    <row r="26" spans="1:9" ht="21.75" customHeight="1">
      <c r="A26" s="23"/>
      <c r="B26" s="34" t="s">
        <v>113</v>
      </c>
      <c r="C26" s="31" t="s">
        <v>114</v>
      </c>
      <c r="D26" s="23"/>
      <c r="E26" s="23"/>
      <c r="F26" s="23"/>
      <c r="G26" s="23"/>
      <c r="H26" s="23"/>
      <c r="I26" s="23"/>
    </row>
    <row r="27" spans="1:9" ht="21.75" customHeight="1">
      <c r="A27" s="23"/>
      <c r="B27" s="35" t="s">
        <v>115</v>
      </c>
      <c r="C27" s="31" t="s">
        <v>116</v>
      </c>
      <c r="D27" s="23"/>
      <c r="E27" s="23"/>
      <c r="F27" s="23"/>
      <c r="G27" s="23"/>
      <c r="H27" s="23"/>
      <c r="I27" s="23"/>
    </row>
    <row r="28" spans="1:9" ht="21.75" customHeight="1">
      <c r="A28" s="23"/>
      <c r="B28" s="36" t="s">
        <v>117</v>
      </c>
      <c r="C28" s="31" t="s">
        <v>118</v>
      </c>
      <c r="D28" s="23"/>
      <c r="E28" s="23"/>
      <c r="F28" s="23"/>
      <c r="G28" s="23"/>
      <c r="H28" s="23"/>
      <c r="I28" s="23"/>
    </row>
    <row r="29" spans="1:9" ht="15" customHeight="1">
      <c r="A29" s="23"/>
      <c r="B29" s="23"/>
      <c r="C29" s="23"/>
      <c r="D29" s="23"/>
      <c r="E29" s="23"/>
      <c r="F29" s="23"/>
      <c r="G29" s="23"/>
      <c r="H29" s="23"/>
      <c r="I29" s="23"/>
    </row>
  </sheetData>
  <pageMargins left="0.75" right="0.75" top="1" bottom="1" header="0.511811023622047" footer="0.511811023622047"/>
  <pageSetup paperSize="9"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560"/>
  <sheetViews>
    <sheetView zoomScaleNormal="100" workbookViewId="0">
      <pane xSplit="1" ySplit="2" topLeftCell="B23" activePane="bottomRight" state="frozen"/>
      <selection pane="bottomRight" activeCell="F17" sqref="F17"/>
      <selection pane="bottomLeft" activeCell="A23" sqref="A23"/>
      <selection pane="topRight" activeCell="B1" sqref="B1"/>
    </sheetView>
  </sheetViews>
  <sheetFormatPr defaultColWidth="8.7109375" defaultRowHeight="15"/>
  <cols>
    <col min="1" max="1" width="26" customWidth="1"/>
    <col min="2" max="2" width="15" customWidth="1"/>
    <col min="3" max="3" width="16" customWidth="1"/>
    <col min="4" max="4" width="46" customWidth="1"/>
    <col min="5" max="5" width="16" customWidth="1"/>
    <col min="6" max="6" width="14" customWidth="1"/>
    <col min="7" max="7" width="12" customWidth="1"/>
    <col min="8" max="8" width="20" customWidth="1"/>
    <col min="9" max="10" width="13" customWidth="1"/>
    <col min="11" max="11" width="34" customWidth="1"/>
  </cols>
  <sheetData>
    <row r="1" spans="1:12" ht="24" customHeight="1">
      <c r="A1" s="130" t="s">
        <v>119</v>
      </c>
      <c r="B1" s="130"/>
      <c r="C1" s="130"/>
      <c r="D1" s="130"/>
      <c r="E1" s="130"/>
      <c r="F1" s="130"/>
      <c r="G1" s="130"/>
      <c r="H1" s="130"/>
      <c r="I1" s="130"/>
      <c r="J1" s="130"/>
      <c r="K1" s="130"/>
      <c r="L1" s="130"/>
    </row>
    <row r="2" spans="1:12" ht="30" customHeight="1">
      <c r="A2" s="37" t="s">
        <v>120</v>
      </c>
      <c r="B2" s="37" t="s">
        <v>121</v>
      </c>
      <c r="C2" s="37" t="s">
        <v>122</v>
      </c>
      <c r="D2" s="37" t="s">
        <v>123</v>
      </c>
      <c r="E2" s="37" t="s">
        <v>124</v>
      </c>
      <c r="F2" s="37" t="s">
        <v>125</v>
      </c>
      <c r="G2" s="37" t="s">
        <v>126</v>
      </c>
      <c r="H2" s="37" t="s">
        <v>127</v>
      </c>
      <c r="I2" s="37" t="s">
        <v>128</v>
      </c>
      <c r="J2" s="37" t="s">
        <v>129</v>
      </c>
      <c r="K2" s="37" t="s">
        <v>130</v>
      </c>
      <c r="L2" s="37" t="s">
        <v>131</v>
      </c>
    </row>
    <row r="3" spans="1:12" ht="15" customHeight="1">
      <c r="A3" s="38" t="s">
        <v>132</v>
      </c>
      <c r="B3" s="39" t="str">
        <f>IFERROR(INDEX(Dim_Proyectos!$A:$A,MATCH(A3,Dim_Proyectos!$B:$B,0)),"")</f>
        <v>P001</v>
      </c>
      <c r="C3" s="40" t="s">
        <v>133</v>
      </c>
      <c r="D3" s="40" t="s">
        <v>134</v>
      </c>
      <c r="E3" s="41" t="s">
        <v>135</v>
      </c>
      <c r="F3" s="40"/>
      <c r="G3" s="40"/>
      <c r="H3" s="40">
        <v>156</v>
      </c>
      <c r="I3" s="40" t="s">
        <v>136</v>
      </c>
      <c r="J3" s="42">
        <v>46056</v>
      </c>
      <c r="K3" s="40"/>
      <c r="L3" s="40" t="s">
        <v>137</v>
      </c>
    </row>
    <row r="4" spans="1:12" ht="15" customHeight="1">
      <c r="A4" s="38" t="s">
        <v>132</v>
      </c>
      <c r="B4" s="43" t="str">
        <f>IFERROR(INDEX(Dim_Proyectos!$A:$A,MATCH(A4,Dim_Proyectos!$B:$B,0)),"")</f>
        <v>P001</v>
      </c>
      <c r="C4" s="44" t="s">
        <v>133</v>
      </c>
      <c r="D4" s="44" t="s">
        <v>138</v>
      </c>
      <c r="E4" s="45" t="s">
        <v>139</v>
      </c>
      <c r="F4" s="44"/>
      <c r="G4" s="44"/>
      <c r="H4" s="44">
        <v>157</v>
      </c>
      <c r="I4" s="44" t="s">
        <v>136</v>
      </c>
      <c r="J4" s="46">
        <v>46090</v>
      </c>
      <c r="K4" s="44"/>
      <c r="L4" s="44"/>
    </row>
    <row r="5" spans="1:12" ht="15" customHeight="1">
      <c r="A5" s="38" t="s">
        <v>132</v>
      </c>
      <c r="B5" s="39" t="str">
        <f>IFERROR(INDEX(Dim_Proyectos!$A:$A,MATCH(A5,Dim_Proyectos!$B:$B,0)),"")</f>
        <v>P001</v>
      </c>
      <c r="C5" s="40" t="s">
        <v>133</v>
      </c>
      <c r="D5" s="40" t="s">
        <v>140</v>
      </c>
      <c r="E5" s="41" t="s">
        <v>141</v>
      </c>
      <c r="F5" s="40"/>
      <c r="G5" s="40"/>
      <c r="H5" s="40">
        <v>155</v>
      </c>
      <c r="I5" s="40" t="s">
        <v>136</v>
      </c>
      <c r="J5" s="42">
        <v>46056</v>
      </c>
      <c r="K5" s="40"/>
      <c r="L5" s="40"/>
    </row>
    <row r="6" spans="1:12" ht="15" customHeight="1">
      <c r="A6" s="38" t="s">
        <v>132</v>
      </c>
      <c r="B6" s="43" t="str">
        <f>IFERROR(INDEX(Dim_Proyectos!$A:$A,MATCH(A6,Dim_Proyectos!$B:$B,0)),"")</f>
        <v>P001</v>
      </c>
      <c r="C6" s="44" t="s">
        <v>133</v>
      </c>
      <c r="D6" s="44" t="s">
        <v>140</v>
      </c>
      <c r="E6" s="45" t="s">
        <v>142</v>
      </c>
      <c r="F6" s="44"/>
      <c r="G6" s="44"/>
      <c r="H6" s="44">
        <v>155</v>
      </c>
      <c r="I6" s="44" t="s">
        <v>136</v>
      </c>
      <c r="J6" s="46">
        <v>46056</v>
      </c>
      <c r="K6" s="44"/>
      <c r="L6" s="44"/>
    </row>
    <row r="7" spans="1:12" ht="15" customHeight="1">
      <c r="A7" s="38" t="s">
        <v>132</v>
      </c>
      <c r="B7" s="39" t="str">
        <f>IFERROR(INDEX(Dim_Proyectos!$A:$A,MATCH(A7,Dim_Proyectos!$B:$B,0)),"")</f>
        <v>P001</v>
      </c>
      <c r="C7" s="40" t="s">
        <v>133</v>
      </c>
      <c r="D7" s="40" t="s">
        <v>140</v>
      </c>
      <c r="E7" s="41" t="s">
        <v>143</v>
      </c>
      <c r="F7" s="40"/>
      <c r="G7" s="40"/>
      <c r="H7" s="40">
        <v>155</v>
      </c>
      <c r="I7" s="40" t="s">
        <v>136</v>
      </c>
      <c r="J7" s="42">
        <v>46056</v>
      </c>
      <c r="K7" s="40"/>
      <c r="L7" s="40"/>
    </row>
    <row r="8" spans="1:12" ht="20.25" customHeight="1">
      <c r="A8" s="38" t="s">
        <v>132</v>
      </c>
      <c r="B8" s="43" t="str">
        <f>IFERROR(INDEX(Dim_Proyectos!$A:$A,MATCH(A8,Dim_Proyectos!$B:$B,0)),"")</f>
        <v>P001</v>
      </c>
      <c r="C8" s="44" t="s">
        <v>133</v>
      </c>
      <c r="D8" s="44" t="s">
        <v>140</v>
      </c>
      <c r="E8" s="45" t="s">
        <v>144</v>
      </c>
      <c r="F8" s="44"/>
      <c r="G8" s="44"/>
      <c r="H8" s="44">
        <v>155</v>
      </c>
      <c r="I8" s="44" t="s">
        <v>136</v>
      </c>
      <c r="J8" s="46">
        <v>46056</v>
      </c>
      <c r="K8" s="44"/>
      <c r="L8" s="44"/>
    </row>
    <row r="9" spans="1:12" ht="15" customHeight="1">
      <c r="A9" s="38" t="s">
        <v>132</v>
      </c>
      <c r="B9" s="39" t="str">
        <f>IFERROR(INDEX(Dim_Proyectos!$A:$A,MATCH(A9,Dim_Proyectos!$B:$B,0)),"")</f>
        <v>P001</v>
      </c>
      <c r="C9" s="40" t="s">
        <v>133</v>
      </c>
      <c r="D9" s="40" t="s">
        <v>145</v>
      </c>
      <c r="E9" s="41" t="s">
        <v>146</v>
      </c>
      <c r="F9" s="40"/>
      <c r="G9" s="40"/>
      <c r="H9" s="40">
        <v>150</v>
      </c>
      <c r="I9" s="40" t="s">
        <v>147</v>
      </c>
      <c r="J9" s="42">
        <v>46057</v>
      </c>
      <c r="K9" s="47">
        <v>46084</v>
      </c>
      <c r="L9" s="40"/>
    </row>
    <row r="10" spans="1:12" ht="15" customHeight="1">
      <c r="A10" s="38" t="s">
        <v>132</v>
      </c>
      <c r="B10" s="43" t="str">
        <f>IFERROR(INDEX(Dim_Proyectos!$A:$A,MATCH(A10,Dim_Proyectos!$B:$B,0)),"")</f>
        <v>P001</v>
      </c>
      <c r="C10" s="44" t="s">
        <v>133</v>
      </c>
      <c r="D10" s="44" t="s">
        <v>145</v>
      </c>
      <c r="E10" s="45" t="s">
        <v>148</v>
      </c>
      <c r="F10" s="44"/>
      <c r="G10" s="44"/>
      <c r="H10" s="44">
        <v>150</v>
      </c>
      <c r="I10" s="44" t="s">
        <v>147</v>
      </c>
      <c r="J10" s="46">
        <v>46057</v>
      </c>
      <c r="K10" s="48">
        <v>46084</v>
      </c>
      <c r="L10" s="44" t="s">
        <v>149</v>
      </c>
    </row>
    <row r="11" spans="1:12" ht="15" customHeight="1">
      <c r="A11" s="38" t="s">
        <v>132</v>
      </c>
      <c r="B11" s="39" t="str">
        <f>IFERROR(INDEX(Dim_Proyectos!$A:$A,MATCH(A11,Dim_Proyectos!$B:$B,0)),"")</f>
        <v>P001</v>
      </c>
      <c r="C11" s="40" t="s">
        <v>133</v>
      </c>
      <c r="D11" s="40" t="s">
        <v>150</v>
      </c>
      <c r="E11" s="41" t="s">
        <v>40</v>
      </c>
      <c r="F11" s="40"/>
      <c r="G11" s="40"/>
      <c r="H11" s="40">
        <v>147</v>
      </c>
      <c r="I11" s="40" t="s">
        <v>151</v>
      </c>
      <c r="J11" s="42">
        <v>46056</v>
      </c>
      <c r="K11" s="47">
        <v>46079</v>
      </c>
      <c r="L11" s="40"/>
    </row>
    <row r="12" spans="1:12" ht="15" customHeight="1">
      <c r="A12" s="38" t="s">
        <v>132</v>
      </c>
      <c r="B12" s="43" t="str">
        <f>IFERROR(INDEX(Dim_Proyectos!$A:$A,MATCH(A12,Dim_Proyectos!$B:$B,0)),"")</f>
        <v>P001</v>
      </c>
      <c r="C12" s="44" t="s">
        <v>133</v>
      </c>
      <c r="D12" s="44" t="s">
        <v>152</v>
      </c>
      <c r="E12" s="45" t="s">
        <v>153</v>
      </c>
      <c r="F12" s="44"/>
      <c r="G12" s="44"/>
      <c r="H12" s="44">
        <v>145</v>
      </c>
      <c r="I12" s="44" t="s">
        <v>151</v>
      </c>
      <c r="J12" s="46">
        <v>46056</v>
      </c>
      <c r="K12" s="48">
        <v>46084</v>
      </c>
      <c r="L12" s="44"/>
    </row>
    <row r="13" spans="1:12" ht="15" customHeight="1">
      <c r="A13" s="38" t="s">
        <v>132</v>
      </c>
      <c r="B13" s="39" t="str">
        <f>IFERROR(INDEX(Dim_Proyectos!$A:$A,MATCH(A13,Dim_Proyectos!$B:$B,0)),"")</f>
        <v>P001</v>
      </c>
      <c r="C13" s="40" t="s">
        <v>133</v>
      </c>
      <c r="D13" s="40" t="s">
        <v>152</v>
      </c>
      <c r="E13" s="41" t="s">
        <v>154</v>
      </c>
      <c r="F13" s="40"/>
      <c r="G13" s="40"/>
      <c r="H13" s="40">
        <v>145</v>
      </c>
      <c r="I13" s="40" t="s">
        <v>151</v>
      </c>
      <c r="J13" s="42">
        <v>46056</v>
      </c>
      <c r="K13" s="47">
        <v>46084</v>
      </c>
      <c r="L13" s="40"/>
    </row>
    <row r="14" spans="1:12" ht="15" customHeight="1">
      <c r="A14" s="38" t="s">
        <v>132</v>
      </c>
      <c r="B14" s="43" t="str">
        <f>IFERROR(INDEX(Dim_Proyectos!$A:$A,MATCH(A14,Dim_Proyectos!$B:$B,0)),"")</f>
        <v>P001</v>
      </c>
      <c r="C14" s="44" t="s">
        <v>133</v>
      </c>
      <c r="D14" s="44" t="s">
        <v>152</v>
      </c>
      <c r="E14" s="45" t="s">
        <v>155</v>
      </c>
      <c r="F14" s="44"/>
      <c r="G14" s="44"/>
      <c r="H14" s="44">
        <v>145</v>
      </c>
      <c r="I14" s="44" t="s">
        <v>151</v>
      </c>
      <c r="J14" s="46">
        <v>46056</v>
      </c>
      <c r="K14" s="48">
        <v>46084</v>
      </c>
      <c r="L14" s="44"/>
    </row>
    <row r="15" spans="1:12" ht="15" customHeight="1">
      <c r="A15" s="38" t="s">
        <v>132</v>
      </c>
      <c r="B15" s="39" t="str">
        <f>IFERROR(INDEX(Dim_Proyectos!$A:$A,MATCH(A15,Dim_Proyectos!$B:$B,0)),"")</f>
        <v>P001</v>
      </c>
      <c r="C15" s="40" t="s">
        <v>133</v>
      </c>
      <c r="D15" s="40" t="s">
        <v>152</v>
      </c>
      <c r="E15" s="41" t="s">
        <v>156</v>
      </c>
      <c r="F15" s="40"/>
      <c r="G15" s="40"/>
      <c r="H15" s="40">
        <v>145</v>
      </c>
      <c r="I15" s="40" t="s">
        <v>151</v>
      </c>
      <c r="J15" s="42">
        <v>46056</v>
      </c>
      <c r="K15" s="47">
        <v>46084</v>
      </c>
      <c r="L15" s="40"/>
    </row>
    <row r="16" spans="1:12" ht="15" customHeight="1">
      <c r="A16" s="38" t="s">
        <v>132</v>
      </c>
      <c r="B16" s="43" t="str">
        <f>IFERROR(INDEX(Dim_Proyectos!$A:$A,MATCH(A16,Dim_Proyectos!$B:$B,0)),"")</f>
        <v>P001</v>
      </c>
      <c r="C16" s="44" t="s">
        <v>133</v>
      </c>
      <c r="D16" s="44" t="s">
        <v>157</v>
      </c>
      <c r="E16" s="45" t="s">
        <v>158</v>
      </c>
      <c r="F16" s="44"/>
      <c r="G16" s="44"/>
      <c r="H16" s="44">
        <v>151</v>
      </c>
      <c r="I16" s="44" t="s">
        <v>147</v>
      </c>
      <c r="J16" s="46">
        <v>46057</v>
      </c>
      <c r="K16" s="48">
        <v>46084</v>
      </c>
      <c r="L16" s="44" t="s">
        <v>159</v>
      </c>
    </row>
    <row r="17" spans="1:12" ht="15" customHeight="1">
      <c r="A17" s="38" t="s">
        <v>132</v>
      </c>
      <c r="B17" s="39" t="str">
        <f>IFERROR(INDEX(Dim_Proyectos!$A:$A,MATCH(A17,Dim_Proyectos!$B:$B,0)),"")</f>
        <v>P001</v>
      </c>
      <c r="C17" s="40" t="s">
        <v>133</v>
      </c>
      <c r="D17" s="40" t="s">
        <v>157</v>
      </c>
      <c r="E17" s="41" t="s">
        <v>160</v>
      </c>
      <c r="F17" s="40"/>
      <c r="G17" s="40"/>
      <c r="H17" s="40">
        <v>151</v>
      </c>
      <c r="I17" s="40" t="s">
        <v>147</v>
      </c>
      <c r="J17" s="42">
        <v>46057</v>
      </c>
      <c r="K17" s="47">
        <v>46084</v>
      </c>
      <c r="L17" s="40"/>
    </row>
    <row r="18" spans="1:12" ht="15" customHeight="1">
      <c r="A18" s="38" t="s">
        <v>132</v>
      </c>
      <c r="B18" s="43" t="str">
        <f>IFERROR(INDEX(Dim_Proyectos!$A:$A,MATCH(A18,Dim_Proyectos!$B:$B,0)),"")</f>
        <v>P001</v>
      </c>
      <c r="C18" s="44" t="s">
        <v>133</v>
      </c>
      <c r="D18" s="44" t="s">
        <v>157</v>
      </c>
      <c r="E18" s="45" t="s">
        <v>161</v>
      </c>
      <c r="F18" s="44"/>
      <c r="G18" s="44"/>
      <c r="H18" s="44">
        <v>151</v>
      </c>
      <c r="I18" s="44" t="s">
        <v>147</v>
      </c>
      <c r="J18" s="46">
        <v>46057</v>
      </c>
      <c r="K18" s="48">
        <v>46084</v>
      </c>
      <c r="L18" s="44"/>
    </row>
    <row r="19" spans="1:12" ht="15" customHeight="1">
      <c r="A19" s="38" t="s">
        <v>132</v>
      </c>
      <c r="B19" s="39" t="str">
        <f>IFERROR(INDEX(Dim_Proyectos!$A:$A,MATCH(A19,Dim_Proyectos!$B:$B,0)),"")</f>
        <v>P001</v>
      </c>
      <c r="C19" s="40" t="s">
        <v>133</v>
      </c>
      <c r="D19" s="40" t="s">
        <v>157</v>
      </c>
      <c r="E19" s="41" t="s">
        <v>162</v>
      </c>
      <c r="F19" s="40"/>
      <c r="G19" s="40"/>
      <c r="H19" s="40">
        <v>151</v>
      </c>
      <c r="I19" s="40" t="s">
        <v>147</v>
      </c>
      <c r="J19" s="42">
        <v>46057</v>
      </c>
      <c r="K19" s="47">
        <v>46084</v>
      </c>
      <c r="L19" s="40"/>
    </row>
    <row r="20" spans="1:12" ht="15" customHeight="1">
      <c r="A20" s="38" t="s">
        <v>132</v>
      </c>
      <c r="B20" s="43" t="str">
        <f>IFERROR(INDEX(Dim_Proyectos!$A:$A,MATCH(A20,Dim_Proyectos!$B:$B,0)),"")</f>
        <v>P001</v>
      </c>
      <c r="C20" s="44" t="s">
        <v>133</v>
      </c>
      <c r="D20" s="44" t="s">
        <v>157</v>
      </c>
      <c r="E20" s="45" t="s">
        <v>163</v>
      </c>
      <c r="F20" s="44"/>
      <c r="G20" s="44"/>
      <c r="H20" s="44">
        <v>151</v>
      </c>
      <c r="I20" s="44" t="s">
        <v>147</v>
      </c>
      <c r="J20" s="46">
        <v>46057</v>
      </c>
      <c r="K20" s="48">
        <v>46084</v>
      </c>
      <c r="L20" s="44"/>
    </row>
    <row r="21" spans="1:12" ht="15" customHeight="1">
      <c r="A21" s="38" t="s">
        <v>132</v>
      </c>
      <c r="B21" s="39" t="str">
        <f>IFERROR(INDEX(Dim_Proyectos!$A:$A,MATCH(A21,Dim_Proyectos!$B:$B,0)),"")</f>
        <v>P001</v>
      </c>
      <c r="C21" s="40" t="s">
        <v>133</v>
      </c>
      <c r="D21" s="40" t="s">
        <v>157</v>
      </c>
      <c r="E21" s="41" t="s">
        <v>164</v>
      </c>
      <c r="F21" s="40"/>
      <c r="G21" s="40"/>
      <c r="H21" s="40">
        <v>151</v>
      </c>
      <c r="I21" s="40" t="s">
        <v>147</v>
      </c>
      <c r="J21" s="42">
        <v>46057</v>
      </c>
      <c r="K21" s="47">
        <v>46084</v>
      </c>
      <c r="L21" s="40"/>
    </row>
    <row r="22" spans="1:12" ht="15" customHeight="1">
      <c r="A22" s="38" t="s">
        <v>132</v>
      </c>
      <c r="B22" s="43" t="str">
        <f>IFERROR(INDEX(Dim_Proyectos!$A:$A,MATCH(A22,Dim_Proyectos!$B:$B,0)),"")</f>
        <v>P001</v>
      </c>
      <c r="C22" s="44" t="s">
        <v>133</v>
      </c>
      <c r="D22" s="44" t="s">
        <v>157</v>
      </c>
      <c r="E22" s="45" t="s">
        <v>165</v>
      </c>
      <c r="F22" s="44"/>
      <c r="G22" s="44"/>
      <c r="H22" s="44">
        <v>151</v>
      </c>
      <c r="I22" s="44" t="s">
        <v>147</v>
      </c>
      <c r="J22" s="46">
        <v>46057</v>
      </c>
      <c r="K22" s="48">
        <v>46084</v>
      </c>
      <c r="L22" s="44"/>
    </row>
    <row r="23" spans="1:12" ht="15" customHeight="1">
      <c r="A23" s="38" t="s">
        <v>132</v>
      </c>
      <c r="B23" s="39" t="str">
        <f>IFERROR(INDEX(Dim_Proyectos!$A:$A,MATCH(A23,Dim_Proyectos!$B:$B,0)),"")</f>
        <v>P001</v>
      </c>
      <c r="C23" s="40" t="s">
        <v>133</v>
      </c>
      <c r="D23" s="40" t="s">
        <v>157</v>
      </c>
      <c r="E23" s="41" t="s">
        <v>166</v>
      </c>
      <c r="F23" s="40"/>
      <c r="G23" s="40"/>
      <c r="H23" s="40">
        <v>151</v>
      </c>
      <c r="I23" s="40" t="s">
        <v>147</v>
      </c>
      <c r="J23" s="42">
        <v>46057</v>
      </c>
      <c r="K23" s="47">
        <v>46084</v>
      </c>
      <c r="L23" s="40"/>
    </row>
    <row r="24" spans="1:12" ht="15" customHeight="1">
      <c r="A24" s="38" t="s">
        <v>132</v>
      </c>
      <c r="B24" s="43" t="str">
        <f>IFERROR(INDEX(Dim_Proyectos!$A:$A,MATCH(A24,Dim_Proyectos!$B:$B,0)),"")</f>
        <v>P001</v>
      </c>
      <c r="C24" s="44" t="s">
        <v>133</v>
      </c>
      <c r="D24" s="44" t="s">
        <v>157</v>
      </c>
      <c r="E24" s="45" t="s">
        <v>167</v>
      </c>
      <c r="F24" s="44"/>
      <c r="G24" s="44"/>
      <c r="H24" s="44">
        <v>151</v>
      </c>
      <c r="I24" s="44" t="s">
        <v>147</v>
      </c>
      <c r="J24" s="46">
        <v>46057</v>
      </c>
      <c r="K24" s="48">
        <v>46084</v>
      </c>
      <c r="L24" s="44"/>
    </row>
    <row r="25" spans="1:12" ht="15" customHeight="1">
      <c r="A25" s="38" t="s">
        <v>132</v>
      </c>
      <c r="B25" s="39" t="str">
        <f>IFERROR(INDEX(Dim_Proyectos!$A:$A,MATCH(A25,Dim_Proyectos!$B:$B,0)),"")</f>
        <v>P001</v>
      </c>
      <c r="C25" s="40" t="s">
        <v>133</v>
      </c>
      <c r="D25" s="40" t="s">
        <v>157</v>
      </c>
      <c r="E25" s="41" t="s">
        <v>168</v>
      </c>
      <c r="F25" s="40"/>
      <c r="G25" s="40"/>
      <c r="H25" s="40">
        <v>151</v>
      </c>
      <c r="I25" s="40" t="s">
        <v>147</v>
      </c>
      <c r="J25" s="42">
        <v>46057</v>
      </c>
      <c r="K25" s="47">
        <v>46084</v>
      </c>
      <c r="L25" s="40"/>
    </row>
    <row r="26" spans="1:12" ht="15" customHeight="1">
      <c r="A26" s="38" t="s">
        <v>132</v>
      </c>
      <c r="B26" s="43" t="str">
        <f>IFERROR(INDEX(Dim_Proyectos!$A:$A,MATCH(A26,Dim_Proyectos!$B:$B,0)),"")</f>
        <v>P001</v>
      </c>
      <c r="C26" s="44" t="s">
        <v>133</v>
      </c>
      <c r="D26" s="44" t="s">
        <v>157</v>
      </c>
      <c r="E26" s="45" t="s">
        <v>169</v>
      </c>
      <c r="F26" s="44"/>
      <c r="G26" s="44"/>
      <c r="H26" s="44">
        <v>151</v>
      </c>
      <c r="I26" s="44" t="s">
        <v>147</v>
      </c>
      <c r="J26" s="46">
        <v>46057</v>
      </c>
      <c r="K26" s="48">
        <v>46084</v>
      </c>
      <c r="L26" s="44"/>
    </row>
    <row r="27" spans="1:12" ht="15" customHeight="1">
      <c r="A27" s="38" t="s">
        <v>132</v>
      </c>
      <c r="B27" s="39" t="str">
        <f>IFERROR(INDEX(Dim_Proyectos!$A:$A,MATCH(A27,Dim_Proyectos!$B:$B,0)),"")</f>
        <v>P001</v>
      </c>
      <c r="C27" s="40" t="s">
        <v>133</v>
      </c>
      <c r="D27" s="40" t="s">
        <v>157</v>
      </c>
      <c r="E27" s="41" t="s">
        <v>170</v>
      </c>
      <c r="F27" s="40"/>
      <c r="G27" s="40"/>
      <c r="H27" s="40">
        <v>151</v>
      </c>
      <c r="I27" s="40" t="s">
        <v>147</v>
      </c>
      <c r="J27" s="42">
        <v>46057</v>
      </c>
      <c r="K27" s="47">
        <v>46084</v>
      </c>
      <c r="L27" s="40"/>
    </row>
    <row r="28" spans="1:12" ht="15" customHeight="1">
      <c r="A28" s="38" t="s">
        <v>132</v>
      </c>
      <c r="B28" s="43" t="str">
        <f>IFERROR(INDEX(Dim_Proyectos!$A:$A,MATCH(A28,Dim_Proyectos!$B:$B,0)),"")</f>
        <v>P001</v>
      </c>
      <c r="C28" s="44" t="s">
        <v>133</v>
      </c>
      <c r="D28" s="44" t="s">
        <v>157</v>
      </c>
      <c r="E28" s="45" t="s">
        <v>171</v>
      </c>
      <c r="F28" s="44"/>
      <c r="G28" s="44"/>
      <c r="H28" s="44">
        <v>151</v>
      </c>
      <c r="I28" s="44" t="s">
        <v>147</v>
      </c>
      <c r="J28" s="46">
        <v>46057</v>
      </c>
      <c r="K28" s="48">
        <v>46084</v>
      </c>
      <c r="L28" s="44"/>
    </row>
    <row r="29" spans="1:12" ht="15" customHeight="1">
      <c r="A29" s="38" t="s">
        <v>132</v>
      </c>
      <c r="B29" s="39" t="str">
        <f>IFERROR(INDEX(Dim_Proyectos!$A:$A,MATCH(A29,Dim_Proyectos!$B:$B,0)),"")</f>
        <v>P001</v>
      </c>
      <c r="C29" s="40" t="s">
        <v>133</v>
      </c>
      <c r="D29" s="40" t="s">
        <v>157</v>
      </c>
      <c r="E29" s="41" t="s">
        <v>172</v>
      </c>
      <c r="F29" s="40"/>
      <c r="G29" s="40"/>
      <c r="H29" s="40">
        <v>151</v>
      </c>
      <c r="I29" s="40" t="s">
        <v>147</v>
      </c>
      <c r="J29" s="42">
        <v>46057</v>
      </c>
      <c r="K29" s="47">
        <v>46084</v>
      </c>
      <c r="L29" s="40"/>
    </row>
    <row r="30" spans="1:12" ht="15" customHeight="1">
      <c r="A30" s="38" t="s">
        <v>132</v>
      </c>
      <c r="B30" s="43" t="str">
        <f>IFERROR(INDEX(Dim_Proyectos!$A:$A,MATCH(A30,Dim_Proyectos!$B:$B,0)),"")</f>
        <v>P001</v>
      </c>
      <c r="C30" s="44" t="s">
        <v>133</v>
      </c>
      <c r="D30" s="44" t="s">
        <v>157</v>
      </c>
      <c r="E30" s="45" t="s">
        <v>173</v>
      </c>
      <c r="F30" s="44"/>
      <c r="G30" s="44"/>
      <c r="H30" s="44">
        <v>151</v>
      </c>
      <c r="I30" s="44" t="s">
        <v>147</v>
      </c>
      <c r="J30" s="46">
        <v>46057</v>
      </c>
      <c r="K30" s="48">
        <v>46084</v>
      </c>
      <c r="L30" s="44"/>
    </row>
    <row r="31" spans="1:12" ht="15" customHeight="1">
      <c r="A31" s="38" t="s">
        <v>132</v>
      </c>
      <c r="B31" s="39" t="str">
        <f>IFERROR(INDEX(Dim_Proyectos!$A:$A,MATCH(A31,Dim_Proyectos!$B:$B,0)),"")</f>
        <v>P001</v>
      </c>
      <c r="C31" s="40" t="s">
        <v>133</v>
      </c>
      <c r="D31" s="40" t="s">
        <v>157</v>
      </c>
      <c r="E31" s="41" t="s">
        <v>174</v>
      </c>
      <c r="F31" s="40"/>
      <c r="G31" s="40"/>
      <c r="H31" s="40">
        <v>151</v>
      </c>
      <c r="I31" s="40" t="s">
        <v>147</v>
      </c>
      <c r="J31" s="42">
        <v>46057</v>
      </c>
      <c r="K31" s="47">
        <v>46084</v>
      </c>
      <c r="L31" s="40"/>
    </row>
    <row r="32" spans="1:12" ht="15" customHeight="1">
      <c r="A32" s="38" t="s">
        <v>132</v>
      </c>
      <c r="B32" s="43" t="str">
        <f>IFERROR(INDEX(Dim_Proyectos!$A:$A,MATCH(A32,Dim_Proyectos!$B:$B,0)),"")</f>
        <v>P001</v>
      </c>
      <c r="C32" s="44" t="s">
        <v>133</v>
      </c>
      <c r="D32" s="44" t="s">
        <v>157</v>
      </c>
      <c r="E32" s="45" t="s">
        <v>175</v>
      </c>
      <c r="F32" s="44"/>
      <c r="G32" s="44"/>
      <c r="H32" s="44">
        <v>151</v>
      </c>
      <c r="I32" s="44" t="s">
        <v>147</v>
      </c>
      <c r="J32" s="46">
        <v>46057</v>
      </c>
      <c r="K32" s="48">
        <v>46084</v>
      </c>
      <c r="L32" s="44"/>
    </row>
    <row r="33" spans="1:12" ht="15" customHeight="1">
      <c r="A33" s="38" t="s">
        <v>132</v>
      </c>
      <c r="B33" s="39" t="str">
        <f>IFERROR(INDEX(Dim_Proyectos!$A:$A,MATCH(A33,Dim_Proyectos!$B:$B,0)),"")</f>
        <v>P001</v>
      </c>
      <c r="C33" s="40" t="s">
        <v>133</v>
      </c>
      <c r="D33" s="40" t="s">
        <v>157</v>
      </c>
      <c r="E33" s="41" t="s">
        <v>176</v>
      </c>
      <c r="F33" s="40"/>
      <c r="G33" s="40"/>
      <c r="H33" s="40">
        <v>151</v>
      </c>
      <c r="I33" s="40" t="s">
        <v>147</v>
      </c>
      <c r="J33" s="42">
        <v>46057</v>
      </c>
      <c r="K33" s="47">
        <v>46084</v>
      </c>
      <c r="L33" s="40"/>
    </row>
    <row r="34" spans="1:12" ht="15" customHeight="1">
      <c r="A34" s="38" t="s">
        <v>132</v>
      </c>
      <c r="B34" s="43" t="str">
        <f>IFERROR(INDEX(Dim_Proyectos!$A:$A,MATCH(A34,Dim_Proyectos!$B:$B,0)),"")</f>
        <v>P001</v>
      </c>
      <c r="C34" s="44" t="s">
        <v>133</v>
      </c>
      <c r="D34" s="44" t="s">
        <v>157</v>
      </c>
      <c r="E34" s="45" t="s">
        <v>177</v>
      </c>
      <c r="F34" s="44"/>
      <c r="G34" s="44"/>
      <c r="H34" s="44">
        <v>151</v>
      </c>
      <c r="I34" s="44" t="s">
        <v>147</v>
      </c>
      <c r="J34" s="46">
        <v>46057</v>
      </c>
      <c r="K34" s="48">
        <v>46084</v>
      </c>
      <c r="L34" s="44"/>
    </row>
    <row r="35" spans="1:12" ht="15" customHeight="1">
      <c r="A35" s="38" t="s">
        <v>132</v>
      </c>
      <c r="B35" s="39" t="str">
        <f>IFERROR(INDEX(Dim_Proyectos!$A:$A,MATCH(A35,Dim_Proyectos!$B:$B,0)),"")</f>
        <v>P001</v>
      </c>
      <c r="C35" s="40" t="s">
        <v>133</v>
      </c>
      <c r="D35" s="40" t="s">
        <v>157</v>
      </c>
      <c r="E35" s="41" t="s">
        <v>178</v>
      </c>
      <c r="F35" s="40"/>
      <c r="G35" s="40"/>
      <c r="H35" s="40">
        <v>151</v>
      </c>
      <c r="I35" s="40" t="s">
        <v>147</v>
      </c>
      <c r="J35" s="42">
        <v>46057</v>
      </c>
      <c r="K35" s="47">
        <v>46084</v>
      </c>
      <c r="L35" s="40"/>
    </row>
    <row r="36" spans="1:12" ht="15" customHeight="1">
      <c r="A36" s="38" t="s">
        <v>132</v>
      </c>
      <c r="B36" s="43" t="str">
        <f>IFERROR(INDEX(Dim_Proyectos!$A:$A,MATCH(A36,Dim_Proyectos!$B:$B,0)),"")</f>
        <v>P001</v>
      </c>
      <c r="C36" s="44" t="s">
        <v>133</v>
      </c>
      <c r="D36" s="44" t="s">
        <v>157</v>
      </c>
      <c r="E36" s="45" t="s">
        <v>179</v>
      </c>
      <c r="F36" s="44"/>
      <c r="G36" s="44"/>
      <c r="H36" s="44">
        <v>151</v>
      </c>
      <c r="I36" s="44" t="s">
        <v>147</v>
      </c>
      <c r="J36" s="46">
        <v>46057</v>
      </c>
      <c r="K36" s="48">
        <v>46084</v>
      </c>
      <c r="L36" s="44"/>
    </row>
    <row r="37" spans="1:12" ht="15" customHeight="1">
      <c r="A37" s="38" t="s">
        <v>132</v>
      </c>
      <c r="B37" s="39" t="str">
        <f>IFERROR(INDEX(Dim_Proyectos!$A:$A,MATCH(A37,Dim_Proyectos!$B:$B,0)),"")</f>
        <v>P001</v>
      </c>
      <c r="C37" s="40" t="s">
        <v>133</v>
      </c>
      <c r="D37" s="40" t="s">
        <v>157</v>
      </c>
      <c r="E37" s="41" t="s">
        <v>180</v>
      </c>
      <c r="F37" s="40"/>
      <c r="G37" s="40"/>
      <c r="H37" s="40">
        <v>151</v>
      </c>
      <c r="I37" s="40" t="s">
        <v>147</v>
      </c>
      <c r="J37" s="42">
        <v>46057</v>
      </c>
      <c r="K37" s="47">
        <v>46084</v>
      </c>
      <c r="L37" s="40"/>
    </row>
    <row r="38" spans="1:12" ht="15" customHeight="1">
      <c r="A38" s="38" t="s">
        <v>132</v>
      </c>
      <c r="B38" s="43" t="str">
        <f>IFERROR(INDEX(Dim_Proyectos!$A:$A,MATCH(A38,Dim_Proyectos!$B:$B,0)),"")</f>
        <v>P001</v>
      </c>
      <c r="C38" s="44" t="s">
        <v>133</v>
      </c>
      <c r="D38" s="44" t="s">
        <v>157</v>
      </c>
      <c r="E38" s="45" t="s">
        <v>181</v>
      </c>
      <c r="F38" s="44"/>
      <c r="G38" s="44"/>
      <c r="H38" s="44">
        <v>151</v>
      </c>
      <c r="I38" s="44" t="s">
        <v>147</v>
      </c>
      <c r="J38" s="46">
        <v>46057</v>
      </c>
      <c r="K38" s="48">
        <v>46084</v>
      </c>
      <c r="L38" s="44"/>
    </row>
    <row r="39" spans="1:12" ht="15" customHeight="1">
      <c r="A39" s="38" t="s">
        <v>132</v>
      </c>
      <c r="B39" s="39" t="str">
        <f>IFERROR(INDEX(Dim_Proyectos!$A:$A,MATCH(A39,Dim_Proyectos!$B:$B,0)),"")</f>
        <v>P001</v>
      </c>
      <c r="C39" s="40" t="s">
        <v>133</v>
      </c>
      <c r="D39" s="40" t="s">
        <v>157</v>
      </c>
      <c r="E39" s="41" t="s">
        <v>182</v>
      </c>
      <c r="F39" s="40"/>
      <c r="G39" s="40"/>
      <c r="H39" s="40">
        <v>151</v>
      </c>
      <c r="I39" s="40" t="s">
        <v>147</v>
      </c>
      <c r="J39" s="42">
        <v>46057</v>
      </c>
      <c r="K39" s="47">
        <v>46084</v>
      </c>
      <c r="L39" s="40"/>
    </row>
    <row r="40" spans="1:12" ht="15" customHeight="1">
      <c r="A40" s="38" t="s">
        <v>132</v>
      </c>
      <c r="B40" s="43" t="str">
        <f>IFERROR(INDEX(Dim_Proyectos!$A:$A,MATCH(A40,Dim_Proyectos!$B:$B,0)),"")</f>
        <v>P001</v>
      </c>
      <c r="C40" s="44" t="s">
        <v>133</v>
      </c>
      <c r="D40" s="44" t="s">
        <v>157</v>
      </c>
      <c r="E40" s="45" t="s">
        <v>183</v>
      </c>
      <c r="F40" s="44"/>
      <c r="G40" s="44"/>
      <c r="H40" s="44">
        <v>151</v>
      </c>
      <c r="I40" s="44" t="s">
        <v>147</v>
      </c>
      <c r="J40" s="46">
        <v>46057</v>
      </c>
      <c r="K40" s="48">
        <v>46084</v>
      </c>
      <c r="L40" s="44"/>
    </row>
    <row r="41" spans="1:12" ht="15" customHeight="1">
      <c r="A41" s="38" t="s">
        <v>132</v>
      </c>
      <c r="B41" s="39" t="str">
        <f>IFERROR(INDEX(Dim_Proyectos!$A:$A,MATCH(A41,Dim_Proyectos!$B:$B,0)),"")</f>
        <v>P001</v>
      </c>
      <c r="C41" s="40" t="s">
        <v>133</v>
      </c>
      <c r="D41" s="40" t="s">
        <v>157</v>
      </c>
      <c r="E41" s="41" t="s">
        <v>184</v>
      </c>
      <c r="F41" s="40"/>
      <c r="G41" s="40"/>
      <c r="H41" s="40">
        <v>151</v>
      </c>
      <c r="I41" s="40" t="s">
        <v>147</v>
      </c>
      <c r="J41" s="42">
        <v>46057</v>
      </c>
      <c r="K41" s="47">
        <v>46084</v>
      </c>
      <c r="L41" s="40"/>
    </row>
    <row r="42" spans="1:12" ht="15" customHeight="1">
      <c r="A42" s="38" t="s">
        <v>132</v>
      </c>
      <c r="B42" s="43" t="str">
        <f>IFERROR(INDEX(Dim_Proyectos!$A:$A,MATCH(A42,Dim_Proyectos!$B:$B,0)),"")</f>
        <v>P001</v>
      </c>
      <c r="C42" s="44" t="s">
        <v>133</v>
      </c>
      <c r="D42" s="44" t="s">
        <v>157</v>
      </c>
      <c r="E42" s="45" t="s">
        <v>185</v>
      </c>
      <c r="F42" s="44"/>
      <c r="G42" s="44"/>
      <c r="H42" s="44">
        <v>151</v>
      </c>
      <c r="I42" s="44" t="s">
        <v>147</v>
      </c>
      <c r="J42" s="46">
        <v>46057</v>
      </c>
      <c r="K42" s="48">
        <v>46084</v>
      </c>
      <c r="L42" s="44" t="s">
        <v>186</v>
      </c>
    </row>
    <row r="43" spans="1:12" ht="15" customHeight="1">
      <c r="A43" s="38" t="s">
        <v>132</v>
      </c>
      <c r="B43" s="39" t="str">
        <f>IFERROR(INDEX(Dim_Proyectos!$A:$A,MATCH(A43,Dim_Proyectos!$B:$B,0)),"")</f>
        <v>P001</v>
      </c>
      <c r="C43" s="40" t="s">
        <v>133</v>
      </c>
      <c r="D43" s="40" t="s">
        <v>187</v>
      </c>
      <c r="E43" s="41" t="s">
        <v>188</v>
      </c>
      <c r="F43" s="40"/>
      <c r="G43" s="40"/>
      <c r="H43" s="40">
        <v>154</v>
      </c>
      <c r="I43" s="40" t="s">
        <v>147</v>
      </c>
      <c r="J43" s="42">
        <v>46056</v>
      </c>
      <c r="K43" s="47">
        <v>46091</v>
      </c>
      <c r="L43" s="40" t="s">
        <v>189</v>
      </c>
    </row>
    <row r="44" spans="1:12" ht="15" customHeight="1">
      <c r="A44" s="38" t="s">
        <v>132</v>
      </c>
      <c r="B44" s="43" t="str">
        <f>IFERROR(INDEX(Dim_Proyectos!$A:$A,MATCH(A44,Dim_Proyectos!$B:$B,0)),"")</f>
        <v>P001</v>
      </c>
      <c r="C44" s="44" t="s">
        <v>133</v>
      </c>
      <c r="D44" s="44" t="s">
        <v>187</v>
      </c>
      <c r="E44" s="45" t="s">
        <v>190</v>
      </c>
      <c r="F44" s="44"/>
      <c r="G44" s="44"/>
      <c r="H44" s="44">
        <v>154</v>
      </c>
      <c r="I44" s="44" t="s">
        <v>151</v>
      </c>
      <c r="J44" s="46">
        <v>46056</v>
      </c>
      <c r="K44" s="48">
        <v>46091</v>
      </c>
      <c r="L44" s="44"/>
    </row>
    <row r="45" spans="1:12" ht="15" customHeight="1">
      <c r="A45" s="38" t="s">
        <v>132</v>
      </c>
      <c r="B45" s="39" t="str">
        <f>IFERROR(INDEX(Dim_Proyectos!$A:$A,MATCH(A45,Dim_Proyectos!$B:$B,0)),"")</f>
        <v>P001</v>
      </c>
      <c r="C45" s="40" t="s">
        <v>133</v>
      </c>
      <c r="D45" s="40" t="s">
        <v>187</v>
      </c>
      <c r="E45" s="41" t="s">
        <v>191</v>
      </c>
      <c r="F45" s="40"/>
      <c r="G45" s="40"/>
      <c r="H45" s="40">
        <v>154</v>
      </c>
      <c r="I45" s="40" t="s">
        <v>151</v>
      </c>
      <c r="J45" s="42">
        <v>46056</v>
      </c>
      <c r="K45" s="47">
        <v>46091</v>
      </c>
      <c r="L45" s="40"/>
    </row>
    <row r="46" spans="1:12" ht="15" customHeight="1">
      <c r="A46" s="38" t="s">
        <v>132</v>
      </c>
      <c r="B46" s="43" t="str">
        <f>IFERROR(INDEX(Dim_Proyectos!$A:$A,MATCH(A46,Dim_Proyectos!$B:$B,0)),"")</f>
        <v>P001</v>
      </c>
      <c r="C46" s="44" t="s">
        <v>133</v>
      </c>
      <c r="D46" s="44" t="s">
        <v>192</v>
      </c>
      <c r="E46" s="45" t="s">
        <v>193</v>
      </c>
      <c r="F46" s="44"/>
      <c r="G46" s="44"/>
      <c r="H46" s="44">
        <v>138</v>
      </c>
      <c r="I46" s="44" t="s">
        <v>151</v>
      </c>
      <c r="J46" s="46">
        <v>46056</v>
      </c>
      <c r="K46" s="48">
        <v>46091</v>
      </c>
      <c r="L46" s="44"/>
    </row>
    <row r="47" spans="1:12" ht="15" customHeight="1">
      <c r="A47" s="38" t="s">
        <v>132</v>
      </c>
      <c r="B47" s="39" t="str">
        <f>IFERROR(INDEX(Dim_Proyectos!$A:$A,MATCH(A47,Dim_Proyectos!$B:$B,0)),"")</f>
        <v>P001</v>
      </c>
      <c r="C47" s="40" t="s">
        <v>133</v>
      </c>
      <c r="D47" s="40" t="s">
        <v>192</v>
      </c>
      <c r="E47" s="41" t="s">
        <v>194</v>
      </c>
      <c r="F47" s="40"/>
      <c r="G47" s="40"/>
      <c r="H47" s="40">
        <v>138</v>
      </c>
      <c r="I47" s="40" t="s">
        <v>151</v>
      </c>
      <c r="J47" s="42">
        <v>46056</v>
      </c>
      <c r="K47" s="47">
        <v>46091</v>
      </c>
      <c r="L47" s="40"/>
    </row>
    <row r="48" spans="1:12" ht="15" customHeight="1">
      <c r="A48" s="38" t="s">
        <v>132</v>
      </c>
      <c r="B48" s="43" t="str">
        <f>IFERROR(INDEX(Dim_Proyectos!$A:$A,MATCH(A48,Dim_Proyectos!$B:$B,0)),"")</f>
        <v>P001</v>
      </c>
      <c r="C48" s="44" t="s">
        <v>133</v>
      </c>
      <c r="D48" s="44" t="s">
        <v>192</v>
      </c>
      <c r="E48" s="45" t="s">
        <v>195</v>
      </c>
      <c r="F48" s="44"/>
      <c r="G48" s="44"/>
      <c r="H48" s="44">
        <v>138</v>
      </c>
      <c r="I48" s="44" t="s">
        <v>151</v>
      </c>
      <c r="J48" s="46">
        <v>46056</v>
      </c>
      <c r="K48" s="48">
        <v>46091</v>
      </c>
      <c r="L48" s="44"/>
    </row>
    <row r="49" spans="1:12" ht="15" customHeight="1">
      <c r="A49" s="38" t="s">
        <v>132</v>
      </c>
      <c r="B49" s="39" t="str">
        <f>IFERROR(INDEX(Dim_Proyectos!$A:$A,MATCH(A49,Dim_Proyectos!$B:$B,0)),"")</f>
        <v>P001</v>
      </c>
      <c r="C49" s="40" t="s">
        <v>133</v>
      </c>
      <c r="D49" s="40" t="s">
        <v>192</v>
      </c>
      <c r="E49" s="41" t="s">
        <v>196</v>
      </c>
      <c r="F49" s="40"/>
      <c r="G49" s="40"/>
      <c r="H49" s="40">
        <v>138</v>
      </c>
      <c r="I49" s="40" t="s">
        <v>151</v>
      </c>
      <c r="J49" s="42">
        <v>46056</v>
      </c>
      <c r="K49" s="47">
        <v>46091</v>
      </c>
      <c r="L49" s="40"/>
    </row>
    <row r="50" spans="1:12" ht="15" customHeight="1">
      <c r="A50" s="38" t="s">
        <v>132</v>
      </c>
      <c r="B50" s="43" t="str">
        <f>IFERROR(INDEX(Dim_Proyectos!$A:$A,MATCH(A50,Dim_Proyectos!$B:$B,0)),"")</f>
        <v>P001</v>
      </c>
      <c r="C50" s="44" t="s">
        <v>133</v>
      </c>
      <c r="D50" s="44" t="s">
        <v>192</v>
      </c>
      <c r="E50" s="45" t="s">
        <v>197</v>
      </c>
      <c r="F50" s="44"/>
      <c r="G50" s="44"/>
      <c r="H50" s="44">
        <v>138</v>
      </c>
      <c r="I50" s="44" t="s">
        <v>151</v>
      </c>
      <c r="J50" s="46">
        <v>46056</v>
      </c>
      <c r="K50" s="48">
        <v>46091</v>
      </c>
      <c r="L50" s="44"/>
    </row>
    <row r="51" spans="1:12" ht="15" customHeight="1">
      <c r="A51" s="38" t="s">
        <v>132</v>
      </c>
      <c r="B51" s="39" t="str">
        <f>IFERROR(INDEX(Dim_Proyectos!$A:$A,MATCH(A51,Dim_Proyectos!$B:$B,0)),"")</f>
        <v>P001</v>
      </c>
      <c r="C51" s="40" t="s">
        <v>133</v>
      </c>
      <c r="D51" s="40" t="s">
        <v>192</v>
      </c>
      <c r="E51" s="41" t="s">
        <v>198</v>
      </c>
      <c r="F51" s="40"/>
      <c r="G51" s="40"/>
      <c r="H51" s="40">
        <v>138</v>
      </c>
      <c r="I51" s="40" t="s">
        <v>151</v>
      </c>
      <c r="J51" s="42">
        <v>46056</v>
      </c>
      <c r="K51" s="47">
        <v>46091</v>
      </c>
      <c r="L51" s="40"/>
    </row>
    <row r="52" spans="1:12" ht="15" customHeight="1">
      <c r="A52" s="38" t="s">
        <v>132</v>
      </c>
      <c r="B52" s="43" t="str">
        <f>IFERROR(INDEX(Dim_Proyectos!$A:$A,MATCH(A52,Dim_Proyectos!$B:$B,0)),"")</f>
        <v>P001</v>
      </c>
      <c r="C52" s="44" t="s">
        <v>133</v>
      </c>
      <c r="D52" s="44" t="s">
        <v>192</v>
      </c>
      <c r="E52" s="45" t="s">
        <v>199</v>
      </c>
      <c r="F52" s="44"/>
      <c r="G52" s="44"/>
      <c r="H52" s="44">
        <v>138</v>
      </c>
      <c r="I52" s="44" t="s">
        <v>151</v>
      </c>
      <c r="J52" s="46">
        <v>46056</v>
      </c>
      <c r="K52" s="48">
        <v>46091</v>
      </c>
      <c r="L52" s="44"/>
    </row>
    <row r="53" spans="1:12" ht="15" customHeight="1">
      <c r="A53" s="38" t="s">
        <v>132</v>
      </c>
      <c r="B53" s="39" t="str">
        <f>IFERROR(INDEX(Dim_Proyectos!$A:$A,MATCH(A53,Dim_Proyectos!$B:$B,0)),"")</f>
        <v>P001</v>
      </c>
      <c r="C53" s="40" t="s">
        <v>133</v>
      </c>
      <c r="D53" s="40" t="s">
        <v>200</v>
      </c>
      <c r="E53" s="41" t="s">
        <v>201</v>
      </c>
      <c r="F53" s="40"/>
      <c r="G53" s="40"/>
      <c r="H53" s="40">
        <v>140</v>
      </c>
      <c r="I53" s="40" t="s">
        <v>136</v>
      </c>
      <c r="J53" s="42">
        <v>46056</v>
      </c>
      <c r="K53" s="40"/>
      <c r="L53" s="40"/>
    </row>
    <row r="54" spans="1:12" ht="15" customHeight="1">
      <c r="A54" s="38" t="s">
        <v>132</v>
      </c>
      <c r="B54" s="43" t="str">
        <f>IFERROR(INDEX(Dim_Proyectos!$A:$A,MATCH(A54,Dim_Proyectos!$B:$B,0)),"")</f>
        <v>P001</v>
      </c>
      <c r="C54" s="44" t="s">
        <v>133</v>
      </c>
      <c r="D54" s="44" t="s">
        <v>202</v>
      </c>
      <c r="E54" s="45" t="s">
        <v>203</v>
      </c>
      <c r="F54" s="44"/>
      <c r="G54" s="44"/>
      <c r="H54" s="44">
        <v>144</v>
      </c>
      <c r="I54" s="44" t="s">
        <v>136</v>
      </c>
      <c r="J54" s="46">
        <v>46056</v>
      </c>
      <c r="K54" s="44"/>
      <c r="L54" s="44"/>
    </row>
    <row r="55" spans="1:12" ht="15" customHeight="1">
      <c r="A55" s="38" t="s">
        <v>132</v>
      </c>
      <c r="B55" s="39" t="str">
        <f>IFERROR(INDEX(Dim_Proyectos!$A:$A,MATCH(A55,Dim_Proyectos!$B:$B,0)),"")</f>
        <v>P001</v>
      </c>
      <c r="C55" s="40" t="s">
        <v>133</v>
      </c>
      <c r="D55" s="40" t="s">
        <v>204</v>
      </c>
      <c r="E55" s="41" t="s">
        <v>205</v>
      </c>
      <c r="F55" s="40"/>
      <c r="G55" s="40"/>
      <c r="H55" s="40">
        <v>142</v>
      </c>
      <c r="I55" s="40" t="s">
        <v>136</v>
      </c>
      <c r="J55" s="42">
        <v>46056</v>
      </c>
      <c r="K55" s="40"/>
      <c r="L55" s="40"/>
    </row>
    <row r="56" spans="1:12" ht="15" customHeight="1">
      <c r="A56" s="38" t="s">
        <v>132</v>
      </c>
      <c r="B56" s="43" t="str">
        <f>IFERROR(INDEX(Dim_Proyectos!$A:$A,MATCH(A56,Dim_Proyectos!$B:$B,0)),"")</f>
        <v>P001</v>
      </c>
      <c r="C56" s="44" t="s">
        <v>133</v>
      </c>
      <c r="D56" s="44" t="s">
        <v>206</v>
      </c>
      <c r="E56" s="45" t="s">
        <v>207</v>
      </c>
      <c r="F56" s="44"/>
      <c r="G56" s="44"/>
      <c r="H56" s="44">
        <v>152</v>
      </c>
      <c r="I56" s="44" t="s">
        <v>208</v>
      </c>
      <c r="J56" s="46">
        <v>46057</v>
      </c>
      <c r="K56" s="48">
        <v>46084</v>
      </c>
      <c r="L56" s="44" t="s">
        <v>209</v>
      </c>
    </row>
    <row r="57" spans="1:12" ht="15" customHeight="1">
      <c r="A57" s="38" t="s">
        <v>132</v>
      </c>
      <c r="B57" s="39" t="str">
        <f>IFERROR(INDEX(Dim_Proyectos!$A:$A,MATCH(A57,Dim_Proyectos!$B:$B,0)),"")</f>
        <v>P001</v>
      </c>
      <c r="C57" s="40" t="s">
        <v>133</v>
      </c>
      <c r="D57" s="40" t="s">
        <v>206</v>
      </c>
      <c r="E57" s="41" t="s">
        <v>210</v>
      </c>
      <c r="F57" s="40"/>
      <c r="G57" s="40"/>
      <c r="H57" s="40">
        <v>152</v>
      </c>
      <c r="I57" s="40" t="s">
        <v>208</v>
      </c>
      <c r="J57" s="42">
        <v>46057</v>
      </c>
      <c r="K57" s="47">
        <v>46084</v>
      </c>
      <c r="L57" s="40"/>
    </row>
    <row r="58" spans="1:12" ht="15" customHeight="1">
      <c r="A58" s="38" t="s">
        <v>132</v>
      </c>
      <c r="B58" s="43" t="str">
        <f>IFERROR(INDEX(Dim_Proyectos!$A:$A,MATCH(A58,Dim_Proyectos!$B:$B,0)),"")</f>
        <v>P001</v>
      </c>
      <c r="C58" s="44" t="s">
        <v>133</v>
      </c>
      <c r="D58" s="44" t="s">
        <v>206</v>
      </c>
      <c r="E58" s="45" t="s">
        <v>211</v>
      </c>
      <c r="F58" s="44"/>
      <c r="G58" s="44"/>
      <c r="H58" s="44">
        <v>152</v>
      </c>
      <c r="I58" s="44" t="s">
        <v>208</v>
      </c>
      <c r="J58" s="46">
        <v>46057</v>
      </c>
      <c r="K58" s="48">
        <v>46084</v>
      </c>
      <c r="L58" s="44"/>
    </row>
    <row r="59" spans="1:12" ht="15" customHeight="1">
      <c r="A59" s="38" t="s">
        <v>132</v>
      </c>
      <c r="B59" s="39" t="str">
        <f>IFERROR(INDEX(Dim_Proyectos!$A:$A,MATCH(A59,Dim_Proyectos!$B:$B,0)),"")</f>
        <v>P001</v>
      </c>
      <c r="C59" s="40" t="s">
        <v>133</v>
      </c>
      <c r="D59" s="40" t="s">
        <v>206</v>
      </c>
      <c r="E59" s="41" t="s">
        <v>212</v>
      </c>
      <c r="F59" s="40"/>
      <c r="G59" s="40"/>
      <c r="H59" s="40">
        <v>152</v>
      </c>
      <c r="I59" s="40" t="s">
        <v>208</v>
      </c>
      <c r="J59" s="42">
        <v>46057</v>
      </c>
      <c r="K59" s="47">
        <v>46084</v>
      </c>
      <c r="L59" s="40"/>
    </row>
    <row r="60" spans="1:12" ht="15" customHeight="1">
      <c r="A60" s="38" t="s">
        <v>132</v>
      </c>
      <c r="B60" s="43" t="str">
        <f>IFERROR(INDEX(Dim_Proyectos!$A:$A,MATCH(A60,Dim_Proyectos!$B:$B,0)),"")</f>
        <v>P001</v>
      </c>
      <c r="C60" s="44" t="s">
        <v>133</v>
      </c>
      <c r="D60" s="44" t="s">
        <v>206</v>
      </c>
      <c r="E60" s="45" t="s">
        <v>213</v>
      </c>
      <c r="F60" s="44"/>
      <c r="G60" s="44"/>
      <c r="H60" s="44">
        <v>152</v>
      </c>
      <c r="I60" s="44" t="s">
        <v>208</v>
      </c>
      <c r="J60" s="46">
        <v>46057</v>
      </c>
      <c r="K60" s="48">
        <v>46084</v>
      </c>
      <c r="L60" s="44"/>
    </row>
    <row r="61" spans="1:12" ht="15" customHeight="1">
      <c r="A61" s="38" t="s">
        <v>132</v>
      </c>
      <c r="B61" s="39" t="str">
        <f>IFERROR(INDEX(Dim_Proyectos!$A:$A,MATCH(A61,Dim_Proyectos!$B:$B,0)),"")</f>
        <v>P001</v>
      </c>
      <c r="C61" s="40" t="s">
        <v>133</v>
      </c>
      <c r="D61" s="40" t="s">
        <v>206</v>
      </c>
      <c r="E61" s="41" t="s">
        <v>214</v>
      </c>
      <c r="F61" s="40"/>
      <c r="G61" s="40"/>
      <c r="H61" s="40">
        <v>152</v>
      </c>
      <c r="I61" s="40" t="s">
        <v>208</v>
      </c>
      <c r="J61" s="42">
        <v>46057</v>
      </c>
      <c r="K61" s="47">
        <v>46084</v>
      </c>
      <c r="L61" s="40"/>
    </row>
    <row r="62" spans="1:12" ht="15" customHeight="1">
      <c r="A62" s="38" t="s">
        <v>132</v>
      </c>
      <c r="B62" s="43" t="str">
        <f>IFERROR(INDEX(Dim_Proyectos!$A:$A,MATCH(A62,Dim_Proyectos!$B:$B,0)),"")</f>
        <v>P001</v>
      </c>
      <c r="C62" s="44" t="s">
        <v>133</v>
      </c>
      <c r="D62" s="44" t="s">
        <v>206</v>
      </c>
      <c r="E62" s="45" t="s">
        <v>215</v>
      </c>
      <c r="F62" s="44"/>
      <c r="G62" s="44"/>
      <c r="H62" s="44">
        <v>152</v>
      </c>
      <c r="I62" s="44" t="s">
        <v>208</v>
      </c>
      <c r="J62" s="46">
        <v>46057</v>
      </c>
      <c r="K62" s="48">
        <v>46084</v>
      </c>
      <c r="L62" s="44"/>
    </row>
    <row r="63" spans="1:12" ht="15" customHeight="1">
      <c r="A63" s="38" t="s">
        <v>132</v>
      </c>
      <c r="B63" s="39" t="str">
        <f>IFERROR(INDEX(Dim_Proyectos!$A:$A,MATCH(A63,Dim_Proyectos!$B:$B,0)),"")</f>
        <v>P001</v>
      </c>
      <c r="C63" s="40" t="s">
        <v>133</v>
      </c>
      <c r="D63" s="40" t="s">
        <v>206</v>
      </c>
      <c r="E63" s="41" t="s">
        <v>216</v>
      </c>
      <c r="F63" s="40"/>
      <c r="G63" s="40"/>
      <c r="H63" s="40">
        <v>152</v>
      </c>
      <c r="I63" s="40" t="s">
        <v>208</v>
      </c>
      <c r="J63" s="42">
        <v>46057</v>
      </c>
      <c r="K63" s="47">
        <v>46084</v>
      </c>
      <c r="L63" s="40"/>
    </row>
    <row r="64" spans="1:12" ht="15" customHeight="1">
      <c r="A64" s="38" t="s">
        <v>132</v>
      </c>
      <c r="B64" s="43" t="str">
        <f>IFERROR(INDEX(Dim_Proyectos!$A:$A,MATCH(A64,Dim_Proyectos!$B:$B,0)),"")</f>
        <v>P001</v>
      </c>
      <c r="C64" s="44" t="s">
        <v>133</v>
      </c>
      <c r="D64" s="44" t="s">
        <v>206</v>
      </c>
      <c r="E64" s="45" t="s">
        <v>217</v>
      </c>
      <c r="F64" s="44"/>
      <c r="G64" s="44"/>
      <c r="H64" s="44">
        <v>152</v>
      </c>
      <c r="I64" s="44" t="s">
        <v>208</v>
      </c>
      <c r="J64" s="46">
        <v>46057</v>
      </c>
      <c r="K64" s="48">
        <v>46084</v>
      </c>
      <c r="L64" s="44"/>
    </row>
    <row r="65" spans="1:12" ht="15" customHeight="1">
      <c r="A65" s="38" t="s">
        <v>132</v>
      </c>
      <c r="B65" s="39" t="str">
        <f>IFERROR(INDEX(Dim_Proyectos!$A:$A,MATCH(A65,Dim_Proyectos!$B:$B,0)),"")</f>
        <v>P001</v>
      </c>
      <c r="C65" s="40" t="s">
        <v>133</v>
      </c>
      <c r="D65" s="40" t="s">
        <v>206</v>
      </c>
      <c r="E65" s="41" t="s">
        <v>218</v>
      </c>
      <c r="F65" s="40"/>
      <c r="G65" s="40"/>
      <c r="H65" s="40">
        <v>152</v>
      </c>
      <c r="I65" s="40" t="s">
        <v>208</v>
      </c>
      <c r="J65" s="42">
        <v>46057</v>
      </c>
      <c r="K65" s="47">
        <v>46084</v>
      </c>
      <c r="L65" s="40"/>
    </row>
    <row r="66" spans="1:12" ht="15" customHeight="1">
      <c r="A66" s="38" t="s">
        <v>132</v>
      </c>
      <c r="B66" s="43" t="str">
        <f>IFERROR(INDEX(Dim_Proyectos!$A:$A,MATCH(A66,Dim_Proyectos!$B:$B,0)),"")</f>
        <v>P001</v>
      </c>
      <c r="C66" s="44" t="s">
        <v>133</v>
      </c>
      <c r="D66" s="44" t="s">
        <v>206</v>
      </c>
      <c r="E66" s="45" t="s">
        <v>219</v>
      </c>
      <c r="F66" s="44"/>
      <c r="G66" s="44"/>
      <c r="H66" s="44">
        <v>152</v>
      </c>
      <c r="I66" s="44" t="s">
        <v>208</v>
      </c>
      <c r="J66" s="46">
        <v>46057</v>
      </c>
      <c r="K66" s="48">
        <v>46084</v>
      </c>
      <c r="L66" s="44"/>
    </row>
    <row r="67" spans="1:12" ht="15" customHeight="1">
      <c r="A67" s="38" t="s">
        <v>132</v>
      </c>
      <c r="B67" s="39" t="str">
        <f>IFERROR(INDEX(Dim_Proyectos!$A:$A,MATCH(A67,Dim_Proyectos!$B:$B,0)),"")</f>
        <v>P001</v>
      </c>
      <c r="C67" s="40" t="s">
        <v>133</v>
      </c>
      <c r="D67" s="40" t="s">
        <v>206</v>
      </c>
      <c r="E67" s="41" t="s">
        <v>220</v>
      </c>
      <c r="F67" s="40"/>
      <c r="G67" s="40"/>
      <c r="H67" s="40">
        <v>152</v>
      </c>
      <c r="I67" s="40" t="s">
        <v>208</v>
      </c>
      <c r="J67" s="42">
        <v>46057</v>
      </c>
      <c r="K67" s="47">
        <v>46084</v>
      </c>
      <c r="L67" s="40"/>
    </row>
    <row r="68" spans="1:12" ht="15" customHeight="1">
      <c r="A68" s="38" t="s">
        <v>132</v>
      </c>
      <c r="B68" s="43" t="str">
        <f>IFERROR(INDEX(Dim_Proyectos!$A:$A,MATCH(A68,Dim_Proyectos!$B:$B,0)),"")</f>
        <v>P001</v>
      </c>
      <c r="C68" s="44" t="s">
        <v>133</v>
      </c>
      <c r="D68" s="44" t="s">
        <v>206</v>
      </c>
      <c r="E68" s="45" t="s">
        <v>221</v>
      </c>
      <c r="F68" s="44"/>
      <c r="G68" s="44"/>
      <c r="H68" s="44">
        <v>152</v>
      </c>
      <c r="I68" s="44" t="s">
        <v>208</v>
      </c>
      <c r="J68" s="46">
        <v>46057</v>
      </c>
      <c r="K68" s="48">
        <v>46084</v>
      </c>
      <c r="L68" s="44"/>
    </row>
    <row r="69" spans="1:12" ht="15" customHeight="1">
      <c r="A69" s="38" t="s">
        <v>132</v>
      </c>
      <c r="B69" s="39" t="str">
        <f>IFERROR(INDEX(Dim_Proyectos!$A:$A,MATCH(A69,Dim_Proyectos!$B:$B,0)),"")</f>
        <v>P001</v>
      </c>
      <c r="C69" s="40" t="s">
        <v>133</v>
      </c>
      <c r="D69" s="40" t="s">
        <v>206</v>
      </c>
      <c r="E69" s="41" t="s">
        <v>222</v>
      </c>
      <c r="F69" s="40"/>
      <c r="G69" s="40"/>
      <c r="H69" s="40">
        <v>152</v>
      </c>
      <c r="I69" s="40" t="s">
        <v>208</v>
      </c>
      <c r="J69" s="42">
        <v>46057</v>
      </c>
      <c r="K69" s="47">
        <v>46084</v>
      </c>
      <c r="L69" s="40"/>
    </row>
    <row r="70" spans="1:12" ht="15" customHeight="1">
      <c r="A70" s="38" t="s">
        <v>132</v>
      </c>
      <c r="B70" s="43" t="str">
        <f>IFERROR(INDEX(Dim_Proyectos!$A:$A,MATCH(A70,Dim_Proyectos!$B:$B,0)),"")</f>
        <v>P001</v>
      </c>
      <c r="C70" s="44" t="s">
        <v>133</v>
      </c>
      <c r="D70" s="44" t="s">
        <v>206</v>
      </c>
      <c r="E70" s="45" t="s">
        <v>223</v>
      </c>
      <c r="F70" s="44"/>
      <c r="G70" s="44"/>
      <c r="H70" s="44">
        <v>152</v>
      </c>
      <c r="I70" s="44" t="s">
        <v>208</v>
      </c>
      <c r="J70" s="46">
        <v>46057</v>
      </c>
      <c r="K70" s="48">
        <v>46084</v>
      </c>
      <c r="L70" s="44"/>
    </row>
    <row r="71" spans="1:12" ht="15" customHeight="1">
      <c r="A71" s="38" t="s">
        <v>132</v>
      </c>
      <c r="B71" s="39" t="str">
        <f>IFERROR(INDEX(Dim_Proyectos!$A:$A,MATCH(A71,Dim_Proyectos!$B:$B,0)),"")</f>
        <v>P001</v>
      </c>
      <c r="C71" s="40" t="s">
        <v>133</v>
      </c>
      <c r="D71" s="40" t="s">
        <v>206</v>
      </c>
      <c r="E71" s="41" t="s">
        <v>224</v>
      </c>
      <c r="F71" s="40"/>
      <c r="G71" s="40"/>
      <c r="H71" s="40">
        <v>152</v>
      </c>
      <c r="I71" s="40" t="s">
        <v>208</v>
      </c>
      <c r="J71" s="42">
        <v>46057</v>
      </c>
      <c r="K71" s="47">
        <v>46084</v>
      </c>
      <c r="L71" s="40"/>
    </row>
    <row r="72" spans="1:12" ht="15" customHeight="1">
      <c r="A72" s="38" t="s">
        <v>132</v>
      </c>
      <c r="B72" s="43" t="str">
        <f>IFERROR(INDEX(Dim_Proyectos!$A:$A,MATCH(A72,Dim_Proyectos!$B:$B,0)),"")</f>
        <v>P001</v>
      </c>
      <c r="C72" s="44" t="s">
        <v>133</v>
      </c>
      <c r="D72" s="44" t="s">
        <v>206</v>
      </c>
      <c r="E72" s="45" t="s">
        <v>225</v>
      </c>
      <c r="F72" s="44"/>
      <c r="G72" s="44"/>
      <c r="H72" s="44">
        <v>152</v>
      </c>
      <c r="I72" s="44" t="s">
        <v>208</v>
      </c>
      <c r="J72" s="46">
        <v>46057</v>
      </c>
      <c r="K72" s="48">
        <v>46084</v>
      </c>
      <c r="L72" s="44"/>
    </row>
    <row r="73" spans="1:12" ht="15" customHeight="1">
      <c r="A73" s="38" t="s">
        <v>132</v>
      </c>
      <c r="B73" s="39" t="str">
        <f>IFERROR(INDEX(Dim_Proyectos!$A:$A,MATCH(A73,Dim_Proyectos!$B:$B,0)),"")</f>
        <v>P001</v>
      </c>
      <c r="C73" s="40" t="s">
        <v>133</v>
      </c>
      <c r="D73" s="40" t="s">
        <v>226</v>
      </c>
      <c r="E73" s="41" t="s">
        <v>40</v>
      </c>
      <c r="F73" s="40"/>
      <c r="G73" s="40"/>
      <c r="H73" s="40">
        <v>148</v>
      </c>
      <c r="I73" s="40" t="s">
        <v>136</v>
      </c>
      <c r="J73" s="42">
        <v>46056</v>
      </c>
      <c r="K73" s="40"/>
      <c r="L73" s="40"/>
    </row>
    <row r="74" spans="1:12" ht="15" customHeight="1">
      <c r="A74" s="38" t="s">
        <v>227</v>
      </c>
      <c r="B74" s="43" t="str">
        <f>IFERROR(INDEX(Dim_Proyectos!$A:$A,MATCH(A74,Dim_Proyectos!$B:$B,0)),"")</f>
        <v>P002</v>
      </c>
      <c r="C74" s="44" t="s">
        <v>228</v>
      </c>
      <c r="D74" s="44" t="s">
        <v>229</v>
      </c>
      <c r="E74" s="45" t="s">
        <v>228</v>
      </c>
      <c r="F74" s="44"/>
      <c r="G74" s="44"/>
      <c r="H74" s="44"/>
      <c r="I74" s="44" t="s">
        <v>151</v>
      </c>
      <c r="J74" s="44"/>
      <c r="K74" s="44"/>
      <c r="L74" s="44"/>
    </row>
    <row r="75" spans="1:12" ht="15" customHeight="1">
      <c r="A75" s="38" t="s">
        <v>227</v>
      </c>
      <c r="B75" s="39" t="str">
        <f>IFERROR(INDEX(Dim_Proyectos!$A:$A,MATCH(A75,Dim_Proyectos!$B:$B,0)),"")</f>
        <v>P002</v>
      </c>
      <c r="C75" s="40" t="s">
        <v>133</v>
      </c>
      <c r="D75" s="40" t="s">
        <v>134</v>
      </c>
      <c r="E75" s="41" t="s">
        <v>135</v>
      </c>
      <c r="F75" s="40"/>
      <c r="G75" s="40"/>
      <c r="H75" s="40"/>
      <c r="I75" s="40" t="s">
        <v>230</v>
      </c>
      <c r="J75" s="40"/>
      <c r="K75" s="40"/>
      <c r="L75" s="40"/>
    </row>
    <row r="76" spans="1:12" ht="15" customHeight="1">
      <c r="A76" s="38" t="s">
        <v>227</v>
      </c>
      <c r="B76" s="43" t="str">
        <f>IFERROR(INDEX(Dim_Proyectos!$A:$A,MATCH(A76,Dim_Proyectos!$B:$B,0)),"")</f>
        <v>P002</v>
      </c>
      <c r="C76" s="44" t="s">
        <v>133</v>
      </c>
      <c r="D76" s="44" t="s">
        <v>138</v>
      </c>
      <c r="E76" s="45" t="s">
        <v>139</v>
      </c>
      <c r="F76" s="44"/>
      <c r="G76" s="44"/>
      <c r="H76" s="44"/>
      <c r="I76" s="44" t="s">
        <v>230</v>
      </c>
      <c r="J76" s="44"/>
      <c r="K76" s="44"/>
      <c r="L76" s="44"/>
    </row>
    <row r="77" spans="1:12" ht="15" customHeight="1">
      <c r="A77" s="38" t="s">
        <v>227</v>
      </c>
      <c r="B77" s="39" t="str">
        <f>IFERROR(INDEX(Dim_Proyectos!$A:$A,MATCH(A77,Dim_Proyectos!$B:$B,0)),"")</f>
        <v>P002</v>
      </c>
      <c r="C77" s="40" t="s">
        <v>133</v>
      </c>
      <c r="D77" s="40" t="s">
        <v>140</v>
      </c>
      <c r="E77" s="41" t="s">
        <v>141</v>
      </c>
      <c r="F77" s="40"/>
      <c r="G77" s="40"/>
      <c r="H77" s="40"/>
      <c r="I77" s="40" t="s">
        <v>230</v>
      </c>
      <c r="J77" s="40"/>
      <c r="K77" s="40"/>
      <c r="L77" s="40"/>
    </row>
    <row r="78" spans="1:12" ht="20.25" customHeight="1">
      <c r="A78" s="38" t="s">
        <v>227</v>
      </c>
      <c r="B78" s="43" t="str">
        <f>IFERROR(INDEX(Dim_Proyectos!$A:$A,MATCH(A78,Dim_Proyectos!$B:$B,0)),"")</f>
        <v>P002</v>
      </c>
      <c r="C78" s="44" t="s">
        <v>133</v>
      </c>
      <c r="D78" s="44" t="s">
        <v>140</v>
      </c>
      <c r="E78" s="45" t="s">
        <v>144</v>
      </c>
      <c r="F78" s="44"/>
      <c r="G78" s="44"/>
      <c r="H78" s="44"/>
      <c r="I78" s="44" t="s">
        <v>230</v>
      </c>
      <c r="J78" s="44"/>
      <c r="K78" s="44"/>
      <c r="L78" s="44"/>
    </row>
    <row r="79" spans="1:12" ht="15" customHeight="1">
      <c r="A79" s="38" t="s">
        <v>227</v>
      </c>
      <c r="B79" s="39" t="str">
        <f>IFERROR(INDEX(Dim_Proyectos!$A:$A,MATCH(A79,Dim_Proyectos!$B:$B,0)),"")</f>
        <v>P002</v>
      </c>
      <c r="C79" s="40" t="s">
        <v>133</v>
      </c>
      <c r="D79" s="40" t="s">
        <v>140</v>
      </c>
      <c r="E79" s="41" t="s">
        <v>231</v>
      </c>
      <c r="F79" s="40"/>
      <c r="G79" s="40"/>
      <c r="H79" s="40"/>
      <c r="I79" s="40" t="s">
        <v>230</v>
      </c>
      <c r="J79" s="40"/>
      <c r="K79" s="40"/>
      <c r="L79" s="40"/>
    </row>
    <row r="80" spans="1:12" ht="15" customHeight="1">
      <c r="A80" s="38" t="s">
        <v>227</v>
      </c>
      <c r="B80" s="43" t="str">
        <f>IFERROR(INDEX(Dim_Proyectos!$A:$A,MATCH(A80,Dim_Proyectos!$B:$B,0)),"")</f>
        <v>P002</v>
      </c>
      <c r="C80" s="44" t="s">
        <v>133</v>
      </c>
      <c r="D80" s="44" t="s">
        <v>140</v>
      </c>
      <c r="E80" s="45" t="s">
        <v>232</v>
      </c>
      <c r="F80" s="44"/>
      <c r="G80" s="44"/>
      <c r="H80" s="44"/>
      <c r="I80" s="44" t="s">
        <v>230</v>
      </c>
      <c r="J80" s="44"/>
      <c r="K80" s="44"/>
      <c r="L80" s="44"/>
    </row>
    <row r="81" spans="1:12" ht="15" customHeight="1">
      <c r="A81" s="38" t="s">
        <v>227</v>
      </c>
      <c r="B81" s="39" t="str">
        <f>IFERROR(INDEX(Dim_Proyectos!$A:$A,MATCH(A81,Dim_Proyectos!$B:$B,0)),"")</f>
        <v>P002</v>
      </c>
      <c r="C81" s="40" t="s">
        <v>133</v>
      </c>
      <c r="D81" s="40" t="s">
        <v>145</v>
      </c>
      <c r="E81" s="41" t="s">
        <v>146</v>
      </c>
      <c r="F81" s="40"/>
      <c r="G81" s="40"/>
      <c r="H81" s="40"/>
      <c r="I81" s="40" t="s">
        <v>230</v>
      </c>
      <c r="J81" s="40"/>
      <c r="K81" s="40"/>
      <c r="L81" s="40"/>
    </row>
    <row r="82" spans="1:12" ht="15" customHeight="1">
      <c r="A82" s="38" t="s">
        <v>227</v>
      </c>
      <c r="B82" s="43" t="str">
        <f>IFERROR(INDEX(Dim_Proyectos!$A:$A,MATCH(A82,Dim_Proyectos!$B:$B,0)),"")</f>
        <v>P002</v>
      </c>
      <c r="C82" s="44" t="s">
        <v>133</v>
      </c>
      <c r="D82" s="44" t="s">
        <v>145</v>
      </c>
      <c r="E82" s="45" t="s">
        <v>148</v>
      </c>
      <c r="F82" s="44"/>
      <c r="G82" s="44"/>
      <c r="H82" s="44"/>
      <c r="I82" s="44" t="s">
        <v>230</v>
      </c>
      <c r="J82" s="44"/>
      <c r="K82" s="44"/>
      <c r="L82" s="44"/>
    </row>
    <row r="83" spans="1:12" ht="15" customHeight="1">
      <c r="A83" s="38" t="s">
        <v>227</v>
      </c>
      <c r="B83" s="39" t="str">
        <f>IFERROR(INDEX(Dim_Proyectos!$A:$A,MATCH(A83,Dim_Proyectos!$B:$B,0)),"")</f>
        <v>P002</v>
      </c>
      <c r="C83" s="40" t="s">
        <v>133</v>
      </c>
      <c r="D83" s="40" t="s">
        <v>150</v>
      </c>
      <c r="E83" s="41" t="s">
        <v>40</v>
      </c>
      <c r="F83" s="40"/>
      <c r="G83" s="40"/>
      <c r="H83" s="40"/>
      <c r="I83" s="40" t="s">
        <v>230</v>
      </c>
      <c r="J83" s="40"/>
      <c r="K83" s="40"/>
      <c r="L83" s="40"/>
    </row>
    <row r="84" spans="1:12" ht="15" customHeight="1">
      <c r="A84" s="38" t="s">
        <v>227</v>
      </c>
      <c r="B84" s="43" t="str">
        <f>IFERROR(INDEX(Dim_Proyectos!$A:$A,MATCH(A84,Dim_Proyectos!$B:$B,0)),"")</f>
        <v>P002</v>
      </c>
      <c r="C84" s="44" t="s">
        <v>133</v>
      </c>
      <c r="D84" s="44" t="s">
        <v>152</v>
      </c>
      <c r="E84" s="45" t="s">
        <v>233</v>
      </c>
      <c r="F84" s="44"/>
      <c r="G84" s="44"/>
      <c r="H84" s="44"/>
      <c r="I84" s="44" t="s">
        <v>230</v>
      </c>
      <c r="J84" s="44"/>
      <c r="K84" s="44"/>
      <c r="L84" s="44"/>
    </row>
    <row r="85" spans="1:12" ht="15" customHeight="1">
      <c r="A85" s="38" t="s">
        <v>227</v>
      </c>
      <c r="B85" s="39" t="str">
        <f>IFERROR(INDEX(Dim_Proyectos!$A:$A,MATCH(A85,Dim_Proyectos!$B:$B,0)),"")</f>
        <v>P002</v>
      </c>
      <c r="C85" s="40" t="s">
        <v>133</v>
      </c>
      <c r="D85" s="40" t="s">
        <v>152</v>
      </c>
      <c r="E85" s="41" t="s">
        <v>154</v>
      </c>
      <c r="F85" s="40"/>
      <c r="G85" s="40"/>
      <c r="H85" s="40"/>
      <c r="I85" s="40" t="s">
        <v>230</v>
      </c>
      <c r="J85" s="40"/>
      <c r="K85" s="40"/>
      <c r="L85" s="40"/>
    </row>
    <row r="86" spans="1:12" ht="15" customHeight="1">
      <c r="A86" s="38" t="s">
        <v>227</v>
      </c>
      <c r="B86" s="43" t="str">
        <f>IFERROR(INDEX(Dim_Proyectos!$A:$A,MATCH(A86,Dim_Proyectos!$B:$B,0)),"")</f>
        <v>P002</v>
      </c>
      <c r="C86" s="44" t="s">
        <v>133</v>
      </c>
      <c r="D86" s="44" t="s">
        <v>157</v>
      </c>
      <c r="E86" s="45" t="s">
        <v>234</v>
      </c>
      <c r="F86" s="44"/>
      <c r="G86" s="44"/>
      <c r="H86" s="44"/>
      <c r="I86" s="44" t="s">
        <v>230</v>
      </c>
      <c r="J86" s="44"/>
      <c r="K86" s="44"/>
      <c r="L86" s="44"/>
    </row>
    <row r="87" spans="1:12" ht="15" customHeight="1">
      <c r="A87" s="38" t="s">
        <v>227</v>
      </c>
      <c r="B87" s="39" t="str">
        <f>IFERROR(INDEX(Dim_Proyectos!$A:$A,MATCH(A87,Dim_Proyectos!$B:$B,0)),"")</f>
        <v>P002</v>
      </c>
      <c r="C87" s="40" t="s">
        <v>133</v>
      </c>
      <c r="D87" s="40" t="s">
        <v>157</v>
      </c>
      <c r="E87" s="41" t="s">
        <v>235</v>
      </c>
      <c r="F87" s="40"/>
      <c r="G87" s="40"/>
      <c r="H87" s="40"/>
      <c r="I87" s="40" t="s">
        <v>230</v>
      </c>
      <c r="J87" s="40"/>
      <c r="K87" s="40"/>
      <c r="L87" s="40"/>
    </row>
    <row r="88" spans="1:12" ht="15" customHeight="1">
      <c r="A88" s="38" t="s">
        <v>227</v>
      </c>
      <c r="B88" s="43" t="str">
        <f>IFERROR(INDEX(Dim_Proyectos!$A:$A,MATCH(A88,Dim_Proyectos!$B:$B,0)),"")</f>
        <v>P002</v>
      </c>
      <c r="C88" s="44" t="s">
        <v>133</v>
      </c>
      <c r="D88" s="44" t="s">
        <v>157</v>
      </c>
      <c r="E88" s="45" t="s">
        <v>236</v>
      </c>
      <c r="F88" s="44"/>
      <c r="G88" s="44"/>
      <c r="H88" s="44"/>
      <c r="I88" s="44" t="s">
        <v>230</v>
      </c>
      <c r="J88" s="44"/>
      <c r="K88" s="44"/>
      <c r="L88" s="44"/>
    </row>
    <row r="89" spans="1:12" ht="15" customHeight="1">
      <c r="A89" s="38" t="s">
        <v>227</v>
      </c>
      <c r="B89" s="39" t="str">
        <f>IFERROR(INDEX(Dim_Proyectos!$A:$A,MATCH(A89,Dim_Proyectos!$B:$B,0)),"")</f>
        <v>P002</v>
      </c>
      <c r="C89" s="40" t="s">
        <v>133</v>
      </c>
      <c r="D89" s="40" t="s">
        <v>157</v>
      </c>
      <c r="E89" s="41" t="s">
        <v>162</v>
      </c>
      <c r="F89" s="40"/>
      <c r="G89" s="40"/>
      <c r="H89" s="40"/>
      <c r="I89" s="40" t="s">
        <v>230</v>
      </c>
      <c r="J89" s="40"/>
      <c r="K89" s="40"/>
      <c r="L89" s="40"/>
    </row>
    <row r="90" spans="1:12" ht="15" customHeight="1">
      <c r="A90" s="38" t="s">
        <v>227</v>
      </c>
      <c r="B90" s="43" t="str">
        <f>IFERROR(INDEX(Dim_Proyectos!$A:$A,MATCH(A90,Dim_Proyectos!$B:$B,0)),"")</f>
        <v>P002</v>
      </c>
      <c r="C90" s="44" t="s">
        <v>133</v>
      </c>
      <c r="D90" s="44" t="s">
        <v>157</v>
      </c>
      <c r="E90" s="45" t="s">
        <v>237</v>
      </c>
      <c r="F90" s="44"/>
      <c r="G90" s="44"/>
      <c r="H90" s="44"/>
      <c r="I90" s="44" t="s">
        <v>230</v>
      </c>
      <c r="J90" s="44"/>
      <c r="K90" s="44"/>
      <c r="L90" s="44"/>
    </row>
    <row r="91" spans="1:12" ht="15" customHeight="1">
      <c r="A91" s="38" t="s">
        <v>227</v>
      </c>
      <c r="B91" s="39" t="str">
        <f>IFERROR(INDEX(Dim_Proyectos!$A:$A,MATCH(A91,Dim_Proyectos!$B:$B,0)),"")</f>
        <v>P002</v>
      </c>
      <c r="C91" s="40" t="s">
        <v>133</v>
      </c>
      <c r="D91" s="40" t="s">
        <v>157</v>
      </c>
      <c r="E91" s="41" t="s">
        <v>238</v>
      </c>
      <c r="F91" s="40"/>
      <c r="G91" s="40"/>
      <c r="H91" s="40"/>
      <c r="I91" s="40" t="s">
        <v>230</v>
      </c>
      <c r="J91" s="40"/>
      <c r="K91" s="40"/>
      <c r="L91" s="40"/>
    </row>
    <row r="92" spans="1:12" ht="15" customHeight="1">
      <c r="A92" s="38" t="s">
        <v>227</v>
      </c>
      <c r="B92" s="43" t="str">
        <f>IFERROR(INDEX(Dim_Proyectos!$A:$A,MATCH(A92,Dim_Proyectos!$B:$B,0)),"")</f>
        <v>P002</v>
      </c>
      <c r="C92" s="44" t="s">
        <v>133</v>
      </c>
      <c r="D92" s="44" t="s">
        <v>157</v>
      </c>
      <c r="E92" s="45" t="s">
        <v>239</v>
      </c>
      <c r="F92" s="44"/>
      <c r="G92" s="44"/>
      <c r="H92" s="44"/>
      <c r="I92" s="44" t="s">
        <v>230</v>
      </c>
      <c r="J92" s="44"/>
      <c r="K92" s="44"/>
      <c r="L92" s="44"/>
    </row>
    <row r="93" spans="1:12" ht="15" customHeight="1">
      <c r="A93" s="38" t="s">
        <v>227</v>
      </c>
      <c r="B93" s="39" t="str">
        <f>IFERROR(INDEX(Dim_Proyectos!$A:$A,MATCH(A93,Dim_Proyectos!$B:$B,0)),"")</f>
        <v>P002</v>
      </c>
      <c r="C93" s="40" t="s">
        <v>133</v>
      </c>
      <c r="D93" s="40" t="s">
        <v>157</v>
      </c>
      <c r="E93" s="41" t="s">
        <v>240</v>
      </c>
      <c r="F93" s="40"/>
      <c r="G93" s="40"/>
      <c r="H93" s="40"/>
      <c r="I93" s="40" t="s">
        <v>230</v>
      </c>
      <c r="J93" s="40"/>
      <c r="K93" s="40"/>
      <c r="L93" s="40"/>
    </row>
    <row r="94" spans="1:12" ht="15" customHeight="1">
      <c r="A94" s="38" t="s">
        <v>227</v>
      </c>
      <c r="B94" s="43" t="str">
        <f>IFERROR(INDEX(Dim_Proyectos!$A:$A,MATCH(A94,Dim_Proyectos!$B:$B,0)),"")</f>
        <v>P002</v>
      </c>
      <c r="C94" s="44" t="s">
        <v>133</v>
      </c>
      <c r="D94" s="44" t="s">
        <v>157</v>
      </c>
      <c r="E94" s="45" t="s">
        <v>241</v>
      </c>
      <c r="F94" s="44"/>
      <c r="G94" s="44"/>
      <c r="H94" s="44"/>
      <c r="I94" s="44" t="s">
        <v>230</v>
      </c>
      <c r="J94" s="44"/>
      <c r="K94" s="44"/>
      <c r="L94" s="44"/>
    </row>
    <row r="95" spans="1:12" ht="15" customHeight="1">
      <c r="A95" s="38" t="s">
        <v>227</v>
      </c>
      <c r="B95" s="39" t="str">
        <f>IFERROR(INDEX(Dim_Proyectos!$A:$A,MATCH(A95,Dim_Proyectos!$B:$B,0)),"")</f>
        <v>P002</v>
      </c>
      <c r="C95" s="40" t="s">
        <v>133</v>
      </c>
      <c r="D95" s="40" t="s">
        <v>157</v>
      </c>
      <c r="E95" s="41" t="s">
        <v>242</v>
      </c>
      <c r="F95" s="40"/>
      <c r="G95" s="40"/>
      <c r="H95" s="40"/>
      <c r="I95" s="40" t="s">
        <v>230</v>
      </c>
      <c r="J95" s="40"/>
      <c r="K95" s="40"/>
      <c r="L95" s="40"/>
    </row>
    <row r="96" spans="1:12" ht="15" customHeight="1">
      <c r="A96" s="38" t="s">
        <v>227</v>
      </c>
      <c r="B96" s="43" t="str">
        <f>IFERROR(INDEX(Dim_Proyectos!$A:$A,MATCH(A96,Dim_Proyectos!$B:$B,0)),"")</f>
        <v>P002</v>
      </c>
      <c r="C96" s="44" t="s">
        <v>133</v>
      </c>
      <c r="D96" s="44" t="s">
        <v>157</v>
      </c>
      <c r="E96" s="45" t="s">
        <v>243</v>
      </c>
      <c r="F96" s="44"/>
      <c r="G96" s="44"/>
      <c r="H96" s="44"/>
      <c r="I96" s="44" t="s">
        <v>230</v>
      </c>
      <c r="J96" s="44"/>
      <c r="K96" s="44"/>
      <c r="L96" s="44"/>
    </row>
    <row r="97" spans="1:12" ht="15" customHeight="1">
      <c r="A97" s="38" t="s">
        <v>227</v>
      </c>
      <c r="B97" s="39" t="str">
        <f>IFERROR(INDEX(Dim_Proyectos!$A:$A,MATCH(A97,Dim_Proyectos!$B:$B,0)),"")</f>
        <v>P002</v>
      </c>
      <c r="C97" s="40" t="s">
        <v>133</v>
      </c>
      <c r="D97" s="40" t="s">
        <v>157</v>
      </c>
      <c r="E97" s="41" t="s">
        <v>244</v>
      </c>
      <c r="F97" s="40"/>
      <c r="G97" s="40"/>
      <c r="H97" s="40"/>
      <c r="I97" s="40" t="s">
        <v>230</v>
      </c>
      <c r="J97" s="40"/>
      <c r="K97" s="40"/>
      <c r="L97" s="40"/>
    </row>
    <row r="98" spans="1:12" ht="15" customHeight="1">
      <c r="A98" s="38" t="s">
        <v>227</v>
      </c>
      <c r="B98" s="43" t="str">
        <f>IFERROR(INDEX(Dim_Proyectos!$A:$A,MATCH(A98,Dim_Proyectos!$B:$B,0)),"")</f>
        <v>P002</v>
      </c>
      <c r="C98" s="44" t="s">
        <v>133</v>
      </c>
      <c r="D98" s="44" t="s">
        <v>157</v>
      </c>
      <c r="E98" s="45" t="s">
        <v>245</v>
      </c>
      <c r="F98" s="44"/>
      <c r="G98" s="44"/>
      <c r="H98" s="44"/>
      <c r="I98" s="44" t="s">
        <v>230</v>
      </c>
      <c r="J98" s="44"/>
      <c r="K98" s="44"/>
      <c r="L98" s="44"/>
    </row>
    <row r="99" spans="1:12" ht="15" customHeight="1">
      <c r="A99" s="38" t="s">
        <v>227</v>
      </c>
      <c r="B99" s="39" t="str">
        <f>IFERROR(INDEX(Dim_Proyectos!$A:$A,MATCH(A99,Dim_Proyectos!$B:$B,0)),"")</f>
        <v>P002</v>
      </c>
      <c r="C99" s="40" t="s">
        <v>133</v>
      </c>
      <c r="D99" s="40" t="s">
        <v>157</v>
      </c>
      <c r="E99" s="41" t="s">
        <v>246</v>
      </c>
      <c r="F99" s="40"/>
      <c r="G99" s="40"/>
      <c r="H99" s="40"/>
      <c r="I99" s="40" t="s">
        <v>230</v>
      </c>
      <c r="J99" s="40"/>
      <c r="K99" s="40"/>
      <c r="L99" s="40"/>
    </row>
    <row r="100" spans="1:12" ht="15" customHeight="1">
      <c r="A100" s="38" t="s">
        <v>227</v>
      </c>
      <c r="B100" s="43" t="str">
        <f>IFERROR(INDEX(Dim_Proyectos!$A:$A,MATCH(A100,Dim_Proyectos!$B:$B,0)),"")</f>
        <v>P002</v>
      </c>
      <c r="C100" s="44" t="s">
        <v>133</v>
      </c>
      <c r="D100" s="44" t="s">
        <v>157</v>
      </c>
      <c r="E100" s="45" t="s">
        <v>247</v>
      </c>
      <c r="F100" s="44"/>
      <c r="G100" s="44"/>
      <c r="H100" s="44"/>
      <c r="I100" s="44" t="s">
        <v>230</v>
      </c>
      <c r="J100" s="44"/>
      <c r="K100" s="44"/>
      <c r="L100" s="44"/>
    </row>
    <row r="101" spans="1:12" ht="15" customHeight="1">
      <c r="A101" s="38" t="s">
        <v>227</v>
      </c>
      <c r="B101" s="39" t="str">
        <f>IFERROR(INDEX(Dim_Proyectos!$A:$A,MATCH(A101,Dim_Proyectos!$B:$B,0)),"")</f>
        <v>P002</v>
      </c>
      <c r="C101" s="40" t="s">
        <v>133</v>
      </c>
      <c r="D101" s="40" t="s">
        <v>187</v>
      </c>
      <c r="E101" s="41" t="s">
        <v>248</v>
      </c>
      <c r="F101" s="40"/>
      <c r="G101" s="40"/>
      <c r="H101" s="40"/>
      <c r="I101" s="40" t="s">
        <v>230</v>
      </c>
      <c r="J101" s="40"/>
      <c r="K101" s="40"/>
      <c r="L101" s="40"/>
    </row>
    <row r="102" spans="1:12" ht="15" customHeight="1">
      <c r="A102" s="38" t="s">
        <v>227</v>
      </c>
      <c r="B102" s="43" t="str">
        <f>IFERROR(INDEX(Dim_Proyectos!$A:$A,MATCH(A102,Dim_Proyectos!$B:$B,0)),"")</f>
        <v>P002</v>
      </c>
      <c r="C102" s="44" t="s">
        <v>133</v>
      </c>
      <c r="D102" s="44" t="s">
        <v>187</v>
      </c>
      <c r="E102" s="45" t="s">
        <v>188</v>
      </c>
      <c r="F102" s="44"/>
      <c r="G102" s="44"/>
      <c r="H102" s="44"/>
      <c r="I102" s="44" t="s">
        <v>230</v>
      </c>
      <c r="J102" s="44"/>
      <c r="K102" s="44"/>
      <c r="L102" s="44"/>
    </row>
    <row r="103" spans="1:12" ht="15" customHeight="1">
      <c r="A103" s="38" t="s">
        <v>227</v>
      </c>
      <c r="B103" s="39" t="str">
        <f>IFERROR(INDEX(Dim_Proyectos!$A:$A,MATCH(A103,Dim_Proyectos!$B:$B,0)),"")</f>
        <v>P002</v>
      </c>
      <c r="C103" s="40" t="s">
        <v>133</v>
      </c>
      <c r="D103" s="40" t="s">
        <v>187</v>
      </c>
      <c r="E103" s="41" t="s">
        <v>249</v>
      </c>
      <c r="F103" s="40"/>
      <c r="G103" s="40"/>
      <c r="H103" s="40"/>
      <c r="I103" s="40" t="s">
        <v>230</v>
      </c>
      <c r="J103" s="40"/>
      <c r="K103" s="40"/>
      <c r="L103" s="40"/>
    </row>
    <row r="104" spans="1:12" ht="15" customHeight="1">
      <c r="A104" s="38" t="s">
        <v>227</v>
      </c>
      <c r="B104" s="43" t="str">
        <f>IFERROR(INDEX(Dim_Proyectos!$A:$A,MATCH(A104,Dim_Proyectos!$B:$B,0)),"")</f>
        <v>P002</v>
      </c>
      <c r="C104" s="44" t="s">
        <v>133</v>
      </c>
      <c r="D104" s="44" t="s">
        <v>187</v>
      </c>
      <c r="E104" s="45" t="s">
        <v>250</v>
      </c>
      <c r="F104" s="44"/>
      <c r="G104" s="44"/>
      <c r="H104" s="44"/>
      <c r="I104" s="44" t="s">
        <v>230</v>
      </c>
      <c r="J104" s="44"/>
      <c r="K104" s="44"/>
      <c r="L104" s="44"/>
    </row>
    <row r="105" spans="1:12" ht="15" customHeight="1">
      <c r="A105" s="38" t="s">
        <v>227</v>
      </c>
      <c r="B105" s="39" t="str">
        <f>IFERROR(INDEX(Dim_Proyectos!$A:$A,MATCH(A105,Dim_Proyectos!$B:$B,0)),"")</f>
        <v>P002</v>
      </c>
      <c r="C105" s="40" t="s">
        <v>133</v>
      </c>
      <c r="D105" s="40" t="s">
        <v>192</v>
      </c>
      <c r="E105" s="41" t="s">
        <v>251</v>
      </c>
      <c r="F105" s="40"/>
      <c r="G105" s="40"/>
      <c r="H105" s="40"/>
      <c r="I105" s="40" t="s">
        <v>230</v>
      </c>
      <c r="J105" s="40"/>
      <c r="K105" s="40"/>
      <c r="L105" s="40"/>
    </row>
    <row r="106" spans="1:12" ht="15" customHeight="1">
      <c r="A106" s="38" t="s">
        <v>227</v>
      </c>
      <c r="B106" s="43" t="str">
        <f>IFERROR(INDEX(Dim_Proyectos!$A:$A,MATCH(A106,Dim_Proyectos!$B:$B,0)),"")</f>
        <v>P002</v>
      </c>
      <c r="C106" s="44" t="s">
        <v>133</v>
      </c>
      <c r="D106" s="44" t="s">
        <v>200</v>
      </c>
      <c r="E106" s="45" t="s">
        <v>252</v>
      </c>
      <c r="F106" s="44"/>
      <c r="G106" s="44"/>
      <c r="H106" s="44"/>
      <c r="I106" s="44" t="s">
        <v>230</v>
      </c>
      <c r="J106" s="44"/>
      <c r="K106" s="44"/>
      <c r="L106" s="44"/>
    </row>
    <row r="107" spans="1:12" ht="15" customHeight="1">
      <c r="A107" s="38" t="s">
        <v>227</v>
      </c>
      <c r="B107" s="39" t="str">
        <f>IFERROR(INDEX(Dim_Proyectos!$A:$A,MATCH(A107,Dim_Proyectos!$B:$B,0)),"")</f>
        <v>P002</v>
      </c>
      <c r="C107" s="40" t="s">
        <v>133</v>
      </c>
      <c r="D107" s="40" t="s">
        <v>200</v>
      </c>
      <c r="E107" s="41" t="s">
        <v>253</v>
      </c>
      <c r="F107" s="40"/>
      <c r="G107" s="40"/>
      <c r="H107" s="40"/>
      <c r="I107" s="40" t="s">
        <v>230</v>
      </c>
      <c r="J107" s="40"/>
      <c r="K107" s="40"/>
      <c r="L107" s="40"/>
    </row>
    <row r="108" spans="1:12" ht="15" customHeight="1">
      <c r="A108" s="38" t="s">
        <v>227</v>
      </c>
      <c r="B108" s="43" t="str">
        <f>IFERROR(INDEX(Dim_Proyectos!$A:$A,MATCH(A108,Dim_Proyectos!$B:$B,0)),"")</f>
        <v>P002</v>
      </c>
      <c r="C108" s="44" t="s">
        <v>133</v>
      </c>
      <c r="D108" s="44" t="s">
        <v>202</v>
      </c>
      <c r="E108" s="45" t="s">
        <v>254</v>
      </c>
      <c r="F108" s="44"/>
      <c r="G108" s="44"/>
      <c r="H108" s="44"/>
      <c r="I108" s="44" t="s">
        <v>230</v>
      </c>
      <c r="J108" s="44"/>
      <c r="K108" s="44"/>
      <c r="L108" s="44"/>
    </row>
    <row r="109" spans="1:12" ht="15" customHeight="1">
      <c r="A109" s="38" t="s">
        <v>227</v>
      </c>
      <c r="B109" s="39" t="str">
        <f>IFERROR(INDEX(Dim_Proyectos!$A:$A,MATCH(A109,Dim_Proyectos!$B:$B,0)),"")</f>
        <v>P002</v>
      </c>
      <c r="C109" s="40" t="s">
        <v>133</v>
      </c>
      <c r="D109" s="40" t="s">
        <v>204</v>
      </c>
      <c r="E109" s="41" t="s">
        <v>255</v>
      </c>
      <c r="F109" s="40"/>
      <c r="G109" s="40"/>
      <c r="H109" s="40"/>
      <c r="I109" s="40" t="s">
        <v>230</v>
      </c>
      <c r="J109" s="40"/>
      <c r="K109" s="40"/>
      <c r="L109" s="40"/>
    </row>
    <row r="110" spans="1:12" ht="15" customHeight="1">
      <c r="A110" s="38" t="s">
        <v>227</v>
      </c>
      <c r="B110" s="43" t="str">
        <f>IFERROR(INDEX(Dim_Proyectos!$A:$A,MATCH(A110,Dim_Proyectos!$B:$B,0)),"")</f>
        <v>P002</v>
      </c>
      <c r="C110" s="44" t="s">
        <v>133</v>
      </c>
      <c r="D110" s="44" t="s">
        <v>206</v>
      </c>
      <c r="E110" s="45" t="s">
        <v>256</v>
      </c>
      <c r="F110" s="44"/>
      <c r="G110" s="44"/>
      <c r="H110" s="44"/>
      <c r="I110" s="44" t="s">
        <v>230</v>
      </c>
      <c r="J110" s="44"/>
      <c r="K110" s="44"/>
      <c r="L110" s="44"/>
    </row>
    <row r="111" spans="1:12" ht="15" customHeight="1">
      <c r="A111" s="38" t="s">
        <v>227</v>
      </c>
      <c r="B111" s="39" t="str">
        <f>IFERROR(INDEX(Dim_Proyectos!$A:$A,MATCH(A111,Dim_Proyectos!$B:$B,0)),"")</f>
        <v>P002</v>
      </c>
      <c r="C111" s="40" t="s">
        <v>133</v>
      </c>
      <c r="D111" s="40" t="s">
        <v>206</v>
      </c>
      <c r="E111" s="41" t="s">
        <v>207</v>
      </c>
      <c r="F111" s="40"/>
      <c r="G111" s="40"/>
      <c r="H111" s="40"/>
      <c r="I111" s="40" t="s">
        <v>230</v>
      </c>
      <c r="J111" s="40"/>
      <c r="K111" s="40"/>
      <c r="L111" s="40"/>
    </row>
    <row r="112" spans="1:12" ht="15" customHeight="1">
      <c r="A112" s="38" t="s">
        <v>227</v>
      </c>
      <c r="B112" s="43" t="str">
        <f>IFERROR(INDEX(Dim_Proyectos!$A:$A,MATCH(A112,Dim_Proyectos!$B:$B,0)),"")</f>
        <v>P002</v>
      </c>
      <c r="C112" s="44" t="s">
        <v>133</v>
      </c>
      <c r="D112" s="44" t="s">
        <v>206</v>
      </c>
      <c r="E112" s="45" t="s">
        <v>210</v>
      </c>
      <c r="F112" s="44"/>
      <c r="G112" s="44"/>
      <c r="H112" s="44"/>
      <c r="I112" s="44" t="s">
        <v>230</v>
      </c>
      <c r="J112" s="44"/>
      <c r="K112" s="44"/>
      <c r="L112" s="44"/>
    </row>
    <row r="113" spans="1:12" ht="15" customHeight="1">
      <c r="A113" s="38" t="s">
        <v>227</v>
      </c>
      <c r="B113" s="39" t="str">
        <f>IFERROR(INDEX(Dim_Proyectos!$A:$A,MATCH(A113,Dim_Proyectos!$B:$B,0)),"")</f>
        <v>P002</v>
      </c>
      <c r="C113" s="40" t="s">
        <v>133</v>
      </c>
      <c r="D113" s="40" t="s">
        <v>206</v>
      </c>
      <c r="E113" s="41" t="s">
        <v>236</v>
      </c>
      <c r="F113" s="40"/>
      <c r="G113" s="40"/>
      <c r="H113" s="40"/>
      <c r="I113" s="40" t="s">
        <v>230</v>
      </c>
      <c r="J113" s="40"/>
      <c r="K113" s="40"/>
      <c r="L113" s="40"/>
    </row>
    <row r="114" spans="1:12" ht="15" customHeight="1">
      <c r="A114" s="38" t="s">
        <v>227</v>
      </c>
      <c r="B114" s="43" t="str">
        <f>IFERROR(INDEX(Dim_Proyectos!$A:$A,MATCH(A114,Dim_Proyectos!$B:$B,0)),"")</f>
        <v>P002</v>
      </c>
      <c r="C114" s="44" t="s">
        <v>133</v>
      </c>
      <c r="D114" s="44" t="s">
        <v>206</v>
      </c>
      <c r="E114" s="45" t="s">
        <v>211</v>
      </c>
      <c r="F114" s="44"/>
      <c r="G114" s="44"/>
      <c r="H114" s="44"/>
      <c r="I114" s="44" t="s">
        <v>230</v>
      </c>
      <c r="J114" s="44"/>
      <c r="K114" s="44"/>
      <c r="L114" s="44"/>
    </row>
    <row r="115" spans="1:12" ht="15" customHeight="1">
      <c r="A115" s="38" t="s">
        <v>227</v>
      </c>
      <c r="B115" s="39" t="str">
        <f>IFERROR(INDEX(Dim_Proyectos!$A:$A,MATCH(A115,Dim_Proyectos!$B:$B,0)),"")</f>
        <v>P002</v>
      </c>
      <c r="C115" s="40" t="s">
        <v>133</v>
      </c>
      <c r="D115" s="40" t="s">
        <v>206</v>
      </c>
      <c r="E115" s="41" t="s">
        <v>257</v>
      </c>
      <c r="F115" s="40"/>
      <c r="G115" s="40"/>
      <c r="H115" s="40"/>
      <c r="I115" s="40" t="s">
        <v>230</v>
      </c>
      <c r="J115" s="40"/>
      <c r="K115" s="40"/>
      <c r="L115" s="40"/>
    </row>
    <row r="116" spans="1:12" ht="20.25" customHeight="1">
      <c r="A116" s="38" t="s">
        <v>227</v>
      </c>
      <c r="B116" s="43" t="str">
        <f>IFERROR(INDEX(Dim_Proyectos!$A:$A,MATCH(A116,Dim_Proyectos!$B:$B,0)),"")</f>
        <v>P002</v>
      </c>
      <c r="C116" s="44" t="s">
        <v>133</v>
      </c>
      <c r="D116" s="44" t="s">
        <v>206</v>
      </c>
      <c r="E116" s="45" t="s">
        <v>258</v>
      </c>
      <c r="F116" s="44"/>
      <c r="G116" s="44"/>
      <c r="H116" s="44"/>
      <c r="I116" s="44" t="s">
        <v>230</v>
      </c>
      <c r="J116" s="44"/>
      <c r="K116" s="44"/>
      <c r="L116" s="44"/>
    </row>
    <row r="117" spans="1:12" ht="15" customHeight="1">
      <c r="A117" s="38" t="s">
        <v>227</v>
      </c>
      <c r="B117" s="39" t="str">
        <f>IFERROR(INDEX(Dim_Proyectos!$A:$A,MATCH(A117,Dim_Proyectos!$B:$B,0)),"")</f>
        <v>P002</v>
      </c>
      <c r="C117" s="40" t="s">
        <v>133</v>
      </c>
      <c r="D117" s="40" t="s">
        <v>206</v>
      </c>
      <c r="E117" s="41" t="s">
        <v>259</v>
      </c>
      <c r="F117" s="40"/>
      <c r="G117" s="40"/>
      <c r="H117" s="40"/>
      <c r="I117" s="40" t="s">
        <v>230</v>
      </c>
      <c r="J117" s="40"/>
      <c r="K117" s="40"/>
      <c r="L117" s="40"/>
    </row>
    <row r="118" spans="1:12" ht="15" customHeight="1">
      <c r="A118" s="38" t="s">
        <v>227</v>
      </c>
      <c r="B118" s="43" t="str">
        <f>IFERROR(INDEX(Dim_Proyectos!$A:$A,MATCH(A118,Dim_Proyectos!$B:$B,0)),"")</f>
        <v>P002</v>
      </c>
      <c r="C118" s="44" t="s">
        <v>133</v>
      </c>
      <c r="D118" s="44" t="s">
        <v>206</v>
      </c>
      <c r="E118" s="45" t="s">
        <v>260</v>
      </c>
      <c r="F118" s="44"/>
      <c r="G118" s="44"/>
      <c r="H118" s="44"/>
      <c r="I118" s="44" t="s">
        <v>230</v>
      </c>
      <c r="J118" s="44"/>
      <c r="K118" s="44"/>
      <c r="L118" s="44"/>
    </row>
    <row r="119" spans="1:12" ht="15" customHeight="1">
      <c r="A119" s="38" t="s">
        <v>227</v>
      </c>
      <c r="B119" s="39" t="str">
        <f>IFERROR(INDEX(Dim_Proyectos!$A:$A,MATCH(A119,Dim_Proyectos!$B:$B,0)),"")</f>
        <v>P002</v>
      </c>
      <c r="C119" s="40" t="s">
        <v>133</v>
      </c>
      <c r="D119" s="40" t="s">
        <v>206</v>
      </c>
      <c r="E119" s="41" t="s">
        <v>261</v>
      </c>
      <c r="F119" s="40"/>
      <c r="G119" s="40"/>
      <c r="H119" s="40"/>
      <c r="I119" s="40" t="s">
        <v>230</v>
      </c>
      <c r="J119" s="40"/>
      <c r="K119" s="40"/>
      <c r="L119" s="40"/>
    </row>
    <row r="120" spans="1:12" ht="15" customHeight="1">
      <c r="A120" s="38" t="s">
        <v>227</v>
      </c>
      <c r="B120" s="43" t="str">
        <f>IFERROR(INDEX(Dim_Proyectos!$A:$A,MATCH(A120,Dim_Proyectos!$B:$B,0)),"")</f>
        <v>P002</v>
      </c>
      <c r="C120" s="44" t="s">
        <v>133</v>
      </c>
      <c r="D120" s="44" t="s">
        <v>206</v>
      </c>
      <c r="E120" s="45" t="s">
        <v>262</v>
      </c>
      <c r="F120" s="44"/>
      <c r="G120" s="44"/>
      <c r="H120" s="44"/>
      <c r="I120" s="44" t="s">
        <v>230</v>
      </c>
      <c r="J120" s="44"/>
      <c r="K120" s="44"/>
      <c r="L120" s="44"/>
    </row>
    <row r="121" spans="1:12" ht="15" customHeight="1">
      <c r="A121" s="38" t="s">
        <v>227</v>
      </c>
      <c r="B121" s="39" t="str">
        <f>IFERROR(INDEX(Dim_Proyectos!$A:$A,MATCH(A121,Dim_Proyectos!$B:$B,0)),"")</f>
        <v>P002</v>
      </c>
      <c r="C121" s="40" t="s">
        <v>133</v>
      </c>
      <c r="D121" s="40" t="s">
        <v>206</v>
      </c>
      <c r="E121" s="41" t="s">
        <v>263</v>
      </c>
      <c r="F121" s="40"/>
      <c r="G121" s="40"/>
      <c r="H121" s="40"/>
      <c r="I121" s="40" t="s">
        <v>230</v>
      </c>
      <c r="J121" s="40"/>
      <c r="K121" s="40"/>
      <c r="L121" s="40"/>
    </row>
    <row r="122" spans="1:12" ht="15" customHeight="1">
      <c r="A122" s="38" t="s">
        <v>264</v>
      </c>
      <c r="B122" s="43" t="str">
        <f>IFERROR(INDEX(Dim_Proyectos!$A:$A,MATCH(A122,Dim_Proyectos!$B:$B,0)),"")</f>
        <v>P003</v>
      </c>
      <c r="C122" s="44" t="s">
        <v>228</v>
      </c>
      <c r="D122" s="44" t="s">
        <v>229</v>
      </c>
      <c r="E122" s="45" t="s">
        <v>228</v>
      </c>
      <c r="F122" s="44"/>
      <c r="G122" s="44"/>
      <c r="H122" s="44"/>
      <c r="I122" s="44"/>
      <c r="J122" s="44"/>
      <c r="K122" s="44"/>
      <c r="L122" s="44"/>
    </row>
    <row r="123" spans="1:12" ht="15" customHeight="1">
      <c r="A123" s="38" t="s">
        <v>264</v>
      </c>
      <c r="B123" s="39" t="str">
        <f>IFERROR(INDEX(Dim_Proyectos!$A:$A,MATCH(A123,Dim_Proyectos!$B:$B,0)),"")</f>
        <v>P003</v>
      </c>
      <c r="C123" s="40" t="s">
        <v>133</v>
      </c>
      <c r="D123" s="40" t="s">
        <v>134</v>
      </c>
      <c r="E123" s="41" t="s">
        <v>135</v>
      </c>
      <c r="F123" s="40"/>
      <c r="G123" s="40"/>
      <c r="H123" s="40"/>
      <c r="I123" s="40" t="s">
        <v>230</v>
      </c>
      <c r="J123" s="40"/>
      <c r="K123" s="40"/>
      <c r="L123" s="40"/>
    </row>
    <row r="124" spans="1:12" ht="15" customHeight="1">
      <c r="A124" s="38" t="s">
        <v>264</v>
      </c>
      <c r="B124" s="43" t="str">
        <f>IFERROR(INDEX(Dim_Proyectos!$A:$A,MATCH(A124,Dim_Proyectos!$B:$B,0)),"")</f>
        <v>P003</v>
      </c>
      <c r="C124" s="44" t="s">
        <v>133</v>
      </c>
      <c r="D124" s="44" t="s">
        <v>138</v>
      </c>
      <c r="E124" s="45" t="s">
        <v>139</v>
      </c>
      <c r="F124" s="44"/>
      <c r="G124" s="44"/>
      <c r="H124" s="44"/>
      <c r="I124" s="44" t="s">
        <v>230</v>
      </c>
      <c r="J124" s="44"/>
      <c r="K124" s="44"/>
      <c r="L124" s="44"/>
    </row>
    <row r="125" spans="1:12" ht="15" customHeight="1">
      <c r="A125" s="38" t="s">
        <v>264</v>
      </c>
      <c r="B125" s="39" t="str">
        <f>IFERROR(INDEX(Dim_Proyectos!$A:$A,MATCH(A125,Dim_Proyectos!$B:$B,0)),"")</f>
        <v>P003</v>
      </c>
      <c r="C125" s="40" t="s">
        <v>133</v>
      </c>
      <c r="D125" s="40" t="s">
        <v>140</v>
      </c>
      <c r="E125" s="41" t="s">
        <v>141</v>
      </c>
      <c r="F125" s="40"/>
      <c r="G125" s="40"/>
      <c r="H125" s="40"/>
      <c r="I125" s="40" t="s">
        <v>230</v>
      </c>
      <c r="J125" s="40"/>
      <c r="K125" s="40"/>
      <c r="L125" s="40"/>
    </row>
    <row r="126" spans="1:12" ht="20.25" customHeight="1">
      <c r="A126" s="38" t="s">
        <v>264</v>
      </c>
      <c r="B126" s="43" t="str">
        <f>IFERROR(INDEX(Dim_Proyectos!$A:$A,MATCH(A126,Dim_Proyectos!$B:$B,0)),"")</f>
        <v>P003</v>
      </c>
      <c r="C126" s="44" t="s">
        <v>133</v>
      </c>
      <c r="D126" s="44" t="s">
        <v>140</v>
      </c>
      <c r="E126" s="45" t="s">
        <v>144</v>
      </c>
      <c r="F126" s="44"/>
      <c r="G126" s="44"/>
      <c r="H126" s="44"/>
      <c r="I126" s="44" t="s">
        <v>230</v>
      </c>
      <c r="J126" s="44"/>
      <c r="K126" s="44"/>
      <c r="L126" s="44"/>
    </row>
    <row r="127" spans="1:12" ht="15" customHeight="1">
      <c r="A127" s="38" t="s">
        <v>264</v>
      </c>
      <c r="B127" s="39" t="str">
        <f>IFERROR(INDEX(Dim_Proyectos!$A:$A,MATCH(A127,Dim_Proyectos!$B:$B,0)),"")</f>
        <v>P003</v>
      </c>
      <c r="C127" s="40" t="s">
        <v>133</v>
      </c>
      <c r="D127" s="40" t="s">
        <v>140</v>
      </c>
      <c r="E127" s="41" t="s">
        <v>231</v>
      </c>
      <c r="F127" s="40"/>
      <c r="G127" s="40"/>
      <c r="H127" s="40"/>
      <c r="I127" s="40" t="s">
        <v>230</v>
      </c>
      <c r="J127" s="40"/>
      <c r="K127" s="40"/>
      <c r="L127" s="40"/>
    </row>
    <row r="128" spans="1:12" ht="15" customHeight="1">
      <c r="A128" s="38" t="s">
        <v>264</v>
      </c>
      <c r="B128" s="43" t="str">
        <f>IFERROR(INDEX(Dim_Proyectos!$A:$A,MATCH(A128,Dim_Proyectos!$B:$B,0)),"")</f>
        <v>P003</v>
      </c>
      <c r="C128" s="44" t="s">
        <v>133</v>
      </c>
      <c r="D128" s="44" t="s">
        <v>140</v>
      </c>
      <c r="E128" s="45" t="s">
        <v>232</v>
      </c>
      <c r="F128" s="44"/>
      <c r="G128" s="44"/>
      <c r="H128" s="44"/>
      <c r="I128" s="44" t="s">
        <v>230</v>
      </c>
      <c r="J128" s="44"/>
      <c r="K128" s="44"/>
      <c r="L128" s="44"/>
    </row>
    <row r="129" spans="1:12" ht="15" customHeight="1">
      <c r="A129" s="38" t="s">
        <v>264</v>
      </c>
      <c r="B129" s="39" t="str">
        <f>IFERROR(INDEX(Dim_Proyectos!$A:$A,MATCH(A129,Dim_Proyectos!$B:$B,0)),"")</f>
        <v>P003</v>
      </c>
      <c r="C129" s="40" t="s">
        <v>133</v>
      </c>
      <c r="D129" s="40" t="s">
        <v>145</v>
      </c>
      <c r="E129" s="41" t="s">
        <v>146</v>
      </c>
      <c r="F129" s="40"/>
      <c r="G129" s="40"/>
      <c r="H129" s="40"/>
      <c r="I129" s="40" t="s">
        <v>230</v>
      </c>
      <c r="J129" s="40"/>
      <c r="K129" s="40"/>
      <c r="L129" s="40"/>
    </row>
    <row r="130" spans="1:12" ht="15" customHeight="1">
      <c r="A130" s="38" t="s">
        <v>264</v>
      </c>
      <c r="B130" s="43" t="str">
        <f>IFERROR(INDEX(Dim_Proyectos!$A:$A,MATCH(A130,Dim_Proyectos!$B:$B,0)),"")</f>
        <v>P003</v>
      </c>
      <c r="C130" s="44" t="s">
        <v>133</v>
      </c>
      <c r="D130" s="44" t="s">
        <v>145</v>
      </c>
      <c r="E130" s="45" t="s">
        <v>148</v>
      </c>
      <c r="F130" s="44"/>
      <c r="G130" s="44"/>
      <c r="H130" s="44"/>
      <c r="I130" s="44" t="s">
        <v>230</v>
      </c>
      <c r="J130" s="44"/>
      <c r="K130" s="44"/>
      <c r="L130" s="44"/>
    </row>
    <row r="131" spans="1:12" ht="15" customHeight="1">
      <c r="A131" s="38" t="s">
        <v>264</v>
      </c>
      <c r="B131" s="39" t="str">
        <f>IFERROR(INDEX(Dim_Proyectos!$A:$A,MATCH(A131,Dim_Proyectos!$B:$B,0)),"")</f>
        <v>P003</v>
      </c>
      <c r="C131" s="40" t="s">
        <v>133</v>
      </c>
      <c r="D131" s="40" t="s">
        <v>150</v>
      </c>
      <c r="E131" s="41" t="s">
        <v>40</v>
      </c>
      <c r="F131" s="40"/>
      <c r="G131" s="40"/>
      <c r="H131" s="40"/>
      <c r="I131" s="40" t="s">
        <v>230</v>
      </c>
      <c r="J131" s="40"/>
      <c r="K131" s="40"/>
      <c r="L131" s="40"/>
    </row>
    <row r="132" spans="1:12" ht="15" customHeight="1">
      <c r="A132" s="38" t="s">
        <v>264</v>
      </c>
      <c r="B132" s="43" t="str">
        <f>IFERROR(INDEX(Dim_Proyectos!$A:$A,MATCH(A132,Dim_Proyectos!$B:$B,0)),"")</f>
        <v>P003</v>
      </c>
      <c r="C132" s="44" t="s">
        <v>133</v>
      </c>
      <c r="D132" s="44" t="s">
        <v>152</v>
      </c>
      <c r="E132" s="45" t="s">
        <v>233</v>
      </c>
      <c r="F132" s="44"/>
      <c r="G132" s="44"/>
      <c r="H132" s="44"/>
      <c r="I132" s="44" t="s">
        <v>230</v>
      </c>
      <c r="J132" s="44"/>
      <c r="K132" s="44"/>
      <c r="L132" s="44"/>
    </row>
    <row r="133" spans="1:12" ht="15" customHeight="1">
      <c r="A133" s="38" t="s">
        <v>264</v>
      </c>
      <c r="B133" s="39" t="str">
        <f>IFERROR(INDEX(Dim_Proyectos!$A:$A,MATCH(A133,Dim_Proyectos!$B:$B,0)),"")</f>
        <v>P003</v>
      </c>
      <c r="C133" s="40" t="s">
        <v>133</v>
      </c>
      <c r="D133" s="40" t="s">
        <v>152</v>
      </c>
      <c r="E133" s="41" t="s">
        <v>154</v>
      </c>
      <c r="F133" s="40"/>
      <c r="G133" s="40"/>
      <c r="H133" s="40"/>
      <c r="I133" s="40" t="s">
        <v>230</v>
      </c>
      <c r="J133" s="40"/>
      <c r="K133" s="40"/>
      <c r="L133" s="40"/>
    </row>
    <row r="134" spans="1:12" ht="15" customHeight="1">
      <c r="A134" s="38" t="s">
        <v>264</v>
      </c>
      <c r="B134" s="43" t="str">
        <f>IFERROR(INDEX(Dim_Proyectos!$A:$A,MATCH(A134,Dim_Proyectos!$B:$B,0)),"")</f>
        <v>P003</v>
      </c>
      <c r="C134" s="44" t="s">
        <v>133</v>
      </c>
      <c r="D134" s="44" t="s">
        <v>152</v>
      </c>
      <c r="E134" s="45" t="s">
        <v>265</v>
      </c>
      <c r="F134" s="44"/>
      <c r="G134" s="44"/>
      <c r="H134" s="44"/>
      <c r="I134" s="44" t="s">
        <v>230</v>
      </c>
      <c r="J134" s="44"/>
      <c r="K134" s="44"/>
      <c r="L134" s="44"/>
    </row>
    <row r="135" spans="1:12" ht="15" customHeight="1">
      <c r="A135" s="38" t="s">
        <v>264</v>
      </c>
      <c r="B135" s="39" t="str">
        <f>IFERROR(INDEX(Dim_Proyectos!$A:$A,MATCH(A135,Dim_Proyectos!$B:$B,0)),"")</f>
        <v>P003</v>
      </c>
      <c r="C135" s="40" t="s">
        <v>133</v>
      </c>
      <c r="D135" s="40" t="s">
        <v>152</v>
      </c>
      <c r="E135" s="41" t="s">
        <v>266</v>
      </c>
      <c r="F135" s="40"/>
      <c r="G135" s="40"/>
      <c r="H135" s="40"/>
      <c r="I135" s="40" t="s">
        <v>230</v>
      </c>
      <c r="J135" s="40"/>
      <c r="K135" s="40"/>
      <c r="L135" s="40"/>
    </row>
    <row r="136" spans="1:12" ht="15" customHeight="1">
      <c r="A136" s="38" t="s">
        <v>264</v>
      </c>
      <c r="B136" s="43" t="str">
        <f>IFERROR(INDEX(Dim_Proyectos!$A:$A,MATCH(A136,Dim_Proyectos!$B:$B,0)),"")</f>
        <v>P003</v>
      </c>
      <c r="C136" s="44" t="s">
        <v>133</v>
      </c>
      <c r="D136" s="44" t="s">
        <v>157</v>
      </c>
      <c r="E136" s="45" t="s">
        <v>234</v>
      </c>
      <c r="F136" s="44"/>
      <c r="G136" s="44"/>
      <c r="H136" s="44"/>
      <c r="I136" s="44" t="s">
        <v>230</v>
      </c>
      <c r="J136" s="44"/>
      <c r="K136" s="44"/>
      <c r="L136" s="44"/>
    </row>
    <row r="137" spans="1:12" ht="15" customHeight="1">
      <c r="A137" s="38" t="s">
        <v>264</v>
      </c>
      <c r="B137" s="39" t="str">
        <f>IFERROR(INDEX(Dim_Proyectos!$A:$A,MATCH(A137,Dim_Proyectos!$B:$B,0)),"")</f>
        <v>P003</v>
      </c>
      <c r="C137" s="40" t="s">
        <v>133</v>
      </c>
      <c r="D137" s="40" t="s">
        <v>157</v>
      </c>
      <c r="E137" s="41" t="s">
        <v>235</v>
      </c>
      <c r="F137" s="40"/>
      <c r="G137" s="40"/>
      <c r="H137" s="40"/>
      <c r="I137" s="40" t="s">
        <v>230</v>
      </c>
      <c r="J137" s="40"/>
      <c r="K137" s="40"/>
      <c r="L137" s="40"/>
    </row>
    <row r="138" spans="1:12" ht="15" customHeight="1">
      <c r="A138" s="38" t="s">
        <v>264</v>
      </c>
      <c r="B138" s="43" t="str">
        <f>IFERROR(INDEX(Dim_Proyectos!$A:$A,MATCH(A138,Dim_Proyectos!$B:$B,0)),"")</f>
        <v>P003</v>
      </c>
      <c r="C138" s="44" t="s">
        <v>133</v>
      </c>
      <c r="D138" s="44" t="s">
        <v>157</v>
      </c>
      <c r="E138" s="45" t="s">
        <v>236</v>
      </c>
      <c r="F138" s="44"/>
      <c r="G138" s="44"/>
      <c r="H138" s="44"/>
      <c r="I138" s="44" t="s">
        <v>230</v>
      </c>
      <c r="J138" s="44"/>
      <c r="K138" s="44"/>
      <c r="L138" s="44"/>
    </row>
    <row r="139" spans="1:12" ht="15" customHeight="1">
      <c r="A139" s="38" t="s">
        <v>264</v>
      </c>
      <c r="B139" s="39" t="str">
        <f>IFERROR(INDEX(Dim_Proyectos!$A:$A,MATCH(A139,Dim_Proyectos!$B:$B,0)),"")</f>
        <v>P003</v>
      </c>
      <c r="C139" s="40" t="s">
        <v>133</v>
      </c>
      <c r="D139" s="40" t="s">
        <v>157</v>
      </c>
      <c r="E139" s="41" t="s">
        <v>163</v>
      </c>
      <c r="F139" s="40"/>
      <c r="G139" s="40"/>
      <c r="H139" s="40"/>
      <c r="I139" s="40" t="s">
        <v>230</v>
      </c>
      <c r="J139" s="40"/>
      <c r="K139" s="40"/>
      <c r="L139" s="40"/>
    </row>
    <row r="140" spans="1:12" ht="15" customHeight="1">
      <c r="A140" s="38" t="s">
        <v>264</v>
      </c>
      <c r="B140" s="43" t="str">
        <f>IFERROR(INDEX(Dim_Proyectos!$A:$A,MATCH(A140,Dim_Proyectos!$B:$B,0)),"")</f>
        <v>P003</v>
      </c>
      <c r="C140" s="44" t="s">
        <v>133</v>
      </c>
      <c r="D140" s="44" t="s">
        <v>157</v>
      </c>
      <c r="E140" s="45" t="s">
        <v>237</v>
      </c>
      <c r="F140" s="44"/>
      <c r="G140" s="44"/>
      <c r="H140" s="44"/>
      <c r="I140" s="44" t="s">
        <v>230</v>
      </c>
      <c r="J140" s="44"/>
      <c r="K140" s="44"/>
      <c r="L140" s="44"/>
    </row>
    <row r="141" spans="1:12" ht="15" customHeight="1">
      <c r="A141" s="38" t="s">
        <v>264</v>
      </c>
      <c r="B141" s="39" t="str">
        <f>IFERROR(INDEX(Dim_Proyectos!$A:$A,MATCH(A141,Dim_Proyectos!$B:$B,0)),"")</f>
        <v>P003</v>
      </c>
      <c r="C141" s="40" t="s">
        <v>133</v>
      </c>
      <c r="D141" s="40" t="s">
        <v>157</v>
      </c>
      <c r="E141" s="41" t="s">
        <v>238</v>
      </c>
      <c r="F141" s="40"/>
      <c r="G141" s="40"/>
      <c r="H141" s="40"/>
      <c r="I141" s="40" t="s">
        <v>230</v>
      </c>
      <c r="J141" s="40"/>
      <c r="K141" s="40"/>
      <c r="L141" s="40"/>
    </row>
    <row r="142" spans="1:12" ht="15" customHeight="1">
      <c r="A142" s="38" t="s">
        <v>264</v>
      </c>
      <c r="B142" s="43" t="str">
        <f>IFERROR(INDEX(Dim_Proyectos!$A:$A,MATCH(A142,Dim_Proyectos!$B:$B,0)),"")</f>
        <v>P003</v>
      </c>
      <c r="C142" s="44" t="s">
        <v>133</v>
      </c>
      <c r="D142" s="44" t="s">
        <v>157</v>
      </c>
      <c r="E142" s="45" t="s">
        <v>239</v>
      </c>
      <c r="F142" s="44"/>
      <c r="G142" s="44"/>
      <c r="H142" s="44"/>
      <c r="I142" s="44" t="s">
        <v>230</v>
      </c>
      <c r="J142" s="44"/>
      <c r="K142" s="44"/>
      <c r="L142" s="44"/>
    </row>
    <row r="143" spans="1:12" ht="15" customHeight="1">
      <c r="A143" s="38" t="s">
        <v>264</v>
      </c>
      <c r="B143" s="39" t="str">
        <f>IFERROR(INDEX(Dim_Proyectos!$A:$A,MATCH(A143,Dim_Proyectos!$B:$B,0)),"")</f>
        <v>P003</v>
      </c>
      <c r="C143" s="40" t="s">
        <v>133</v>
      </c>
      <c r="D143" s="40" t="s">
        <v>157</v>
      </c>
      <c r="E143" s="41" t="s">
        <v>267</v>
      </c>
      <c r="F143" s="40"/>
      <c r="G143" s="40"/>
      <c r="H143" s="40"/>
      <c r="I143" s="40" t="s">
        <v>230</v>
      </c>
      <c r="J143" s="40"/>
      <c r="K143" s="40"/>
      <c r="L143" s="40"/>
    </row>
    <row r="144" spans="1:12" ht="15" customHeight="1">
      <c r="A144" s="38" t="s">
        <v>264</v>
      </c>
      <c r="B144" s="43" t="str">
        <f>IFERROR(INDEX(Dim_Proyectos!$A:$A,MATCH(A144,Dim_Proyectos!$B:$B,0)),"")</f>
        <v>P003</v>
      </c>
      <c r="C144" s="44" t="s">
        <v>133</v>
      </c>
      <c r="D144" s="44" t="s">
        <v>157</v>
      </c>
      <c r="E144" s="45" t="s">
        <v>268</v>
      </c>
      <c r="F144" s="44"/>
      <c r="G144" s="44"/>
      <c r="H144" s="44"/>
      <c r="I144" s="44" t="s">
        <v>230</v>
      </c>
      <c r="J144" s="44"/>
      <c r="K144" s="44"/>
      <c r="L144" s="44"/>
    </row>
    <row r="145" spans="1:12" ht="15" customHeight="1">
      <c r="A145" s="38" t="s">
        <v>264</v>
      </c>
      <c r="B145" s="39" t="str">
        <f>IFERROR(INDEX(Dim_Proyectos!$A:$A,MATCH(A145,Dim_Proyectos!$B:$B,0)),"")</f>
        <v>P003</v>
      </c>
      <c r="C145" s="40" t="s">
        <v>133</v>
      </c>
      <c r="D145" s="40" t="s">
        <v>157</v>
      </c>
      <c r="E145" s="41" t="s">
        <v>162</v>
      </c>
      <c r="F145" s="40"/>
      <c r="G145" s="40"/>
      <c r="H145" s="40"/>
      <c r="I145" s="40" t="s">
        <v>230</v>
      </c>
      <c r="J145" s="40"/>
      <c r="K145" s="40"/>
      <c r="L145" s="40"/>
    </row>
    <row r="146" spans="1:12" ht="15" customHeight="1">
      <c r="A146" s="38" t="s">
        <v>264</v>
      </c>
      <c r="B146" s="43" t="str">
        <f>IFERROR(INDEX(Dim_Proyectos!$A:$A,MATCH(A146,Dim_Proyectos!$B:$B,0)),"")</f>
        <v>P003</v>
      </c>
      <c r="C146" s="44" t="s">
        <v>133</v>
      </c>
      <c r="D146" s="44" t="s">
        <v>157</v>
      </c>
      <c r="E146" s="45" t="s">
        <v>240</v>
      </c>
      <c r="F146" s="44"/>
      <c r="G146" s="44"/>
      <c r="H146" s="44"/>
      <c r="I146" s="44" t="s">
        <v>230</v>
      </c>
      <c r="J146" s="44"/>
      <c r="K146" s="44"/>
      <c r="L146" s="44"/>
    </row>
    <row r="147" spans="1:12" ht="15" customHeight="1">
      <c r="A147" s="38" t="s">
        <v>264</v>
      </c>
      <c r="B147" s="39" t="str">
        <f>IFERROR(INDEX(Dim_Proyectos!$A:$A,MATCH(A147,Dim_Proyectos!$B:$B,0)),"")</f>
        <v>P003</v>
      </c>
      <c r="C147" s="40" t="s">
        <v>133</v>
      </c>
      <c r="D147" s="40" t="s">
        <v>157</v>
      </c>
      <c r="E147" s="41" t="s">
        <v>241</v>
      </c>
      <c r="F147" s="40"/>
      <c r="G147" s="40"/>
      <c r="H147" s="40"/>
      <c r="I147" s="40" t="s">
        <v>230</v>
      </c>
      <c r="J147" s="40"/>
      <c r="K147" s="40"/>
      <c r="L147" s="40"/>
    </row>
    <row r="148" spans="1:12" ht="15" customHeight="1">
      <c r="A148" s="38" t="s">
        <v>264</v>
      </c>
      <c r="B148" s="43" t="str">
        <f>IFERROR(INDEX(Dim_Proyectos!$A:$A,MATCH(A148,Dim_Proyectos!$B:$B,0)),"")</f>
        <v>P003</v>
      </c>
      <c r="C148" s="44" t="s">
        <v>133</v>
      </c>
      <c r="D148" s="44" t="s">
        <v>157</v>
      </c>
      <c r="E148" s="45" t="s">
        <v>269</v>
      </c>
      <c r="F148" s="44"/>
      <c r="G148" s="44"/>
      <c r="H148" s="44"/>
      <c r="I148" s="44" t="s">
        <v>230</v>
      </c>
      <c r="J148" s="44"/>
      <c r="K148" s="44"/>
      <c r="L148" s="44"/>
    </row>
    <row r="149" spans="1:12" ht="15" customHeight="1">
      <c r="A149" s="38" t="s">
        <v>264</v>
      </c>
      <c r="B149" s="39" t="str">
        <f>IFERROR(INDEX(Dim_Proyectos!$A:$A,MATCH(A149,Dim_Proyectos!$B:$B,0)),"")</f>
        <v>P003</v>
      </c>
      <c r="C149" s="40" t="s">
        <v>133</v>
      </c>
      <c r="D149" s="40" t="s">
        <v>157</v>
      </c>
      <c r="E149" s="41" t="s">
        <v>270</v>
      </c>
      <c r="F149" s="40"/>
      <c r="G149" s="40"/>
      <c r="H149" s="40"/>
      <c r="I149" s="40" t="s">
        <v>230</v>
      </c>
      <c r="J149" s="40"/>
      <c r="K149" s="40"/>
      <c r="L149" s="40"/>
    </row>
    <row r="150" spans="1:12" ht="15" customHeight="1">
      <c r="A150" s="38" t="s">
        <v>264</v>
      </c>
      <c r="B150" s="43" t="str">
        <f>IFERROR(INDEX(Dim_Proyectos!$A:$A,MATCH(A150,Dim_Proyectos!$B:$B,0)),"")</f>
        <v>P003</v>
      </c>
      <c r="C150" s="44" t="s">
        <v>133</v>
      </c>
      <c r="D150" s="44" t="s">
        <v>157</v>
      </c>
      <c r="E150" s="45" t="s">
        <v>243</v>
      </c>
      <c r="F150" s="44"/>
      <c r="G150" s="44"/>
      <c r="H150" s="44"/>
      <c r="I150" s="44" t="s">
        <v>230</v>
      </c>
      <c r="J150" s="44"/>
      <c r="K150" s="44"/>
      <c r="L150" s="44"/>
    </row>
    <row r="151" spans="1:12" ht="15" customHeight="1">
      <c r="A151" s="38" t="s">
        <v>264</v>
      </c>
      <c r="B151" s="39" t="str">
        <f>IFERROR(INDEX(Dim_Proyectos!$A:$A,MATCH(A151,Dim_Proyectos!$B:$B,0)),"")</f>
        <v>P003</v>
      </c>
      <c r="C151" s="40" t="s">
        <v>133</v>
      </c>
      <c r="D151" s="40" t="s">
        <v>157</v>
      </c>
      <c r="E151" s="41" t="s">
        <v>244</v>
      </c>
      <c r="F151" s="40"/>
      <c r="G151" s="40"/>
      <c r="H151" s="40"/>
      <c r="I151" s="40" t="s">
        <v>230</v>
      </c>
      <c r="J151" s="40"/>
      <c r="K151" s="40"/>
      <c r="L151" s="40"/>
    </row>
    <row r="152" spans="1:12" ht="15" customHeight="1">
      <c r="A152" s="38" t="s">
        <v>264</v>
      </c>
      <c r="B152" s="43" t="str">
        <f>IFERROR(INDEX(Dim_Proyectos!$A:$A,MATCH(A152,Dim_Proyectos!$B:$B,0)),"")</f>
        <v>P003</v>
      </c>
      <c r="C152" s="44" t="s">
        <v>133</v>
      </c>
      <c r="D152" s="44" t="s">
        <v>157</v>
      </c>
      <c r="E152" s="45" t="s">
        <v>245</v>
      </c>
      <c r="F152" s="44"/>
      <c r="G152" s="44"/>
      <c r="H152" s="44"/>
      <c r="I152" s="44" t="s">
        <v>230</v>
      </c>
      <c r="J152" s="44"/>
      <c r="K152" s="44"/>
      <c r="L152" s="44"/>
    </row>
    <row r="153" spans="1:12" ht="15" customHeight="1">
      <c r="A153" s="38" t="s">
        <v>264</v>
      </c>
      <c r="B153" s="39" t="str">
        <f>IFERROR(INDEX(Dim_Proyectos!$A:$A,MATCH(A153,Dim_Proyectos!$B:$B,0)),"")</f>
        <v>P003</v>
      </c>
      <c r="C153" s="40" t="s">
        <v>133</v>
      </c>
      <c r="D153" s="40" t="s">
        <v>157</v>
      </c>
      <c r="E153" s="41" t="s">
        <v>271</v>
      </c>
      <c r="F153" s="40"/>
      <c r="G153" s="40"/>
      <c r="H153" s="40"/>
      <c r="I153" s="40" t="s">
        <v>230</v>
      </c>
      <c r="J153" s="40"/>
      <c r="K153" s="40"/>
      <c r="L153" s="40"/>
    </row>
    <row r="154" spans="1:12" ht="15" customHeight="1">
      <c r="A154" s="38" t="s">
        <v>264</v>
      </c>
      <c r="B154" s="43" t="str">
        <f>IFERROR(INDEX(Dim_Proyectos!$A:$A,MATCH(A154,Dim_Proyectos!$B:$B,0)),"")</f>
        <v>P003</v>
      </c>
      <c r="C154" s="44" t="s">
        <v>133</v>
      </c>
      <c r="D154" s="44" t="s">
        <v>157</v>
      </c>
      <c r="E154" s="45" t="s">
        <v>176</v>
      </c>
      <c r="F154" s="44"/>
      <c r="G154" s="44"/>
      <c r="H154" s="44"/>
      <c r="I154" s="44" t="s">
        <v>230</v>
      </c>
      <c r="J154" s="44"/>
      <c r="K154" s="44"/>
      <c r="L154" s="44"/>
    </row>
    <row r="155" spans="1:12" ht="15" customHeight="1">
      <c r="A155" s="38" t="s">
        <v>264</v>
      </c>
      <c r="B155" s="39" t="str">
        <f>IFERROR(INDEX(Dim_Proyectos!$A:$A,MATCH(A155,Dim_Proyectos!$B:$B,0)),"")</f>
        <v>P003</v>
      </c>
      <c r="C155" s="40" t="s">
        <v>133</v>
      </c>
      <c r="D155" s="40" t="s">
        <v>157</v>
      </c>
      <c r="E155" s="41" t="s">
        <v>272</v>
      </c>
      <c r="F155" s="40"/>
      <c r="G155" s="40"/>
      <c r="H155" s="40"/>
      <c r="I155" s="40" t="s">
        <v>230</v>
      </c>
      <c r="J155" s="40"/>
      <c r="K155" s="40"/>
      <c r="L155" s="40"/>
    </row>
    <row r="156" spans="1:12" ht="15" customHeight="1">
      <c r="A156" s="38" t="s">
        <v>264</v>
      </c>
      <c r="B156" s="43" t="str">
        <f>IFERROR(INDEX(Dim_Proyectos!$A:$A,MATCH(A156,Dim_Proyectos!$B:$B,0)),"")</f>
        <v>P003</v>
      </c>
      <c r="C156" s="44" t="s">
        <v>133</v>
      </c>
      <c r="D156" s="44" t="s">
        <v>157</v>
      </c>
      <c r="E156" s="45" t="s">
        <v>273</v>
      </c>
      <c r="F156" s="44"/>
      <c r="G156" s="44"/>
      <c r="H156" s="44"/>
      <c r="I156" s="44" t="s">
        <v>230</v>
      </c>
      <c r="J156" s="44"/>
      <c r="K156" s="44"/>
      <c r="L156" s="44"/>
    </row>
    <row r="157" spans="1:12" ht="15" customHeight="1">
      <c r="A157" s="38" t="s">
        <v>264</v>
      </c>
      <c r="B157" s="39" t="str">
        <f>IFERROR(INDEX(Dim_Proyectos!$A:$A,MATCH(A157,Dim_Proyectos!$B:$B,0)),"")</f>
        <v>P003</v>
      </c>
      <c r="C157" s="40" t="s">
        <v>133</v>
      </c>
      <c r="D157" s="40" t="s">
        <v>157</v>
      </c>
      <c r="E157" s="41" t="s">
        <v>274</v>
      </c>
      <c r="F157" s="40"/>
      <c r="G157" s="40"/>
      <c r="H157" s="40"/>
      <c r="I157" s="40" t="s">
        <v>230</v>
      </c>
      <c r="J157" s="40"/>
      <c r="K157" s="40"/>
      <c r="L157" s="40"/>
    </row>
    <row r="158" spans="1:12" ht="15" customHeight="1">
      <c r="A158" s="38" t="s">
        <v>264</v>
      </c>
      <c r="B158" s="43" t="str">
        <f>IFERROR(INDEX(Dim_Proyectos!$A:$A,MATCH(A158,Dim_Proyectos!$B:$B,0)),"")</f>
        <v>P003</v>
      </c>
      <c r="C158" s="44" t="s">
        <v>133</v>
      </c>
      <c r="D158" s="44" t="s">
        <v>187</v>
      </c>
      <c r="E158" s="45" t="s">
        <v>275</v>
      </c>
      <c r="F158" s="44"/>
      <c r="G158" s="44"/>
      <c r="H158" s="44"/>
      <c r="I158" s="44" t="s">
        <v>230</v>
      </c>
      <c r="J158" s="44"/>
      <c r="K158" s="44"/>
      <c r="L158" s="44"/>
    </row>
    <row r="159" spans="1:12" ht="15" customHeight="1">
      <c r="A159" s="38" t="s">
        <v>264</v>
      </c>
      <c r="B159" s="39" t="str">
        <f>IFERROR(INDEX(Dim_Proyectos!$A:$A,MATCH(A159,Dim_Proyectos!$B:$B,0)),"")</f>
        <v>P003</v>
      </c>
      <c r="C159" s="40" t="s">
        <v>133</v>
      </c>
      <c r="D159" s="40" t="s">
        <v>187</v>
      </c>
      <c r="E159" s="41" t="s">
        <v>276</v>
      </c>
      <c r="F159" s="40"/>
      <c r="G159" s="40"/>
      <c r="H159" s="40"/>
      <c r="I159" s="40" t="s">
        <v>230</v>
      </c>
      <c r="J159" s="40"/>
      <c r="K159" s="40"/>
      <c r="L159" s="40"/>
    </row>
    <row r="160" spans="1:12" ht="15" customHeight="1">
      <c r="A160" s="38" t="s">
        <v>264</v>
      </c>
      <c r="B160" s="43" t="str">
        <f>IFERROR(INDEX(Dim_Proyectos!$A:$A,MATCH(A160,Dim_Proyectos!$B:$B,0)),"")</f>
        <v>P003</v>
      </c>
      <c r="C160" s="44" t="s">
        <v>133</v>
      </c>
      <c r="D160" s="44" t="s">
        <v>187</v>
      </c>
      <c r="E160" s="45" t="s">
        <v>277</v>
      </c>
      <c r="F160" s="44"/>
      <c r="G160" s="44"/>
      <c r="H160" s="44"/>
      <c r="I160" s="44" t="s">
        <v>230</v>
      </c>
      <c r="J160" s="44"/>
      <c r="K160" s="44"/>
      <c r="L160" s="44"/>
    </row>
    <row r="161" spans="1:12" ht="15" customHeight="1">
      <c r="A161" s="38" t="s">
        <v>264</v>
      </c>
      <c r="B161" s="39" t="str">
        <f>IFERROR(INDEX(Dim_Proyectos!$A:$A,MATCH(A161,Dim_Proyectos!$B:$B,0)),"")</f>
        <v>P003</v>
      </c>
      <c r="C161" s="40" t="s">
        <v>133</v>
      </c>
      <c r="D161" s="40" t="s">
        <v>187</v>
      </c>
      <c r="E161" s="41" t="s">
        <v>278</v>
      </c>
      <c r="F161" s="40"/>
      <c r="G161" s="40"/>
      <c r="H161" s="40"/>
      <c r="I161" s="40" t="s">
        <v>230</v>
      </c>
      <c r="J161" s="40"/>
      <c r="K161" s="40"/>
      <c r="L161" s="40"/>
    </row>
    <row r="162" spans="1:12" ht="15" customHeight="1">
      <c r="A162" s="38" t="s">
        <v>264</v>
      </c>
      <c r="B162" s="43" t="str">
        <f>IFERROR(INDEX(Dim_Proyectos!$A:$A,MATCH(A162,Dim_Proyectos!$B:$B,0)),"")</f>
        <v>P003</v>
      </c>
      <c r="C162" s="44" t="s">
        <v>133</v>
      </c>
      <c r="D162" s="44" t="s">
        <v>187</v>
      </c>
      <c r="E162" s="45" t="s">
        <v>279</v>
      </c>
      <c r="F162" s="44"/>
      <c r="G162" s="44"/>
      <c r="H162" s="44"/>
      <c r="I162" s="44" t="s">
        <v>230</v>
      </c>
      <c r="J162" s="44"/>
      <c r="K162" s="44"/>
      <c r="L162" s="44"/>
    </row>
    <row r="163" spans="1:12" ht="20.25" customHeight="1">
      <c r="A163" s="38" t="s">
        <v>264</v>
      </c>
      <c r="B163" s="39" t="str">
        <f>IFERROR(INDEX(Dim_Proyectos!$A:$A,MATCH(A163,Dim_Proyectos!$B:$B,0)),"")</f>
        <v>P003</v>
      </c>
      <c r="C163" s="40" t="s">
        <v>133</v>
      </c>
      <c r="D163" s="40" t="s">
        <v>187</v>
      </c>
      <c r="E163" s="41" t="s">
        <v>280</v>
      </c>
      <c r="F163" s="40"/>
      <c r="G163" s="40"/>
      <c r="H163" s="40"/>
      <c r="I163" s="40" t="s">
        <v>230</v>
      </c>
      <c r="J163" s="40"/>
      <c r="K163" s="40"/>
      <c r="L163" s="40"/>
    </row>
    <row r="164" spans="1:12" ht="15" customHeight="1">
      <c r="A164" s="38" t="s">
        <v>264</v>
      </c>
      <c r="B164" s="43" t="str">
        <f>IFERROR(INDEX(Dim_Proyectos!$A:$A,MATCH(A164,Dim_Proyectos!$B:$B,0)),"")</f>
        <v>P003</v>
      </c>
      <c r="C164" s="44" t="s">
        <v>133</v>
      </c>
      <c r="D164" s="44" t="s">
        <v>187</v>
      </c>
      <c r="E164" s="45" t="s">
        <v>250</v>
      </c>
      <c r="F164" s="44"/>
      <c r="G164" s="44"/>
      <c r="H164" s="44"/>
      <c r="I164" s="44" t="s">
        <v>230</v>
      </c>
      <c r="J164" s="44"/>
      <c r="K164" s="44"/>
      <c r="L164" s="44"/>
    </row>
    <row r="165" spans="1:12" ht="15" customHeight="1">
      <c r="A165" s="38" t="s">
        <v>264</v>
      </c>
      <c r="B165" s="39" t="str">
        <f>IFERROR(INDEX(Dim_Proyectos!$A:$A,MATCH(A165,Dim_Proyectos!$B:$B,0)),"")</f>
        <v>P003</v>
      </c>
      <c r="C165" s="40" t="s">
        <v>133</v>
      </c>
      <c r="D165" s="40" t="s">
        <v>187</v>
      </c>
      <c r="E165" s="41" t="s">
        <v>281</v>
      </c>
      <c r="F165" s="40"/>
      <c r="G165" s="40"/>
      <c r="H165" s="40"/>
      <c r="I165" s="40" t="s">
        <v>230</v>
      </c>
      <c r="J165" s="40"/>
      <c r="K165" s="40"/>
      <c r="L165" s="40"/>
    </row>
    <row r="166" spans="1:12" ht="20.25" customHeight="1">
      <c r="A166" s="38" t="s">
        <v>264</v>
      </c>
      <c r="B166" s="43" t="str">
        <f>IFERROR(INDEX(Dim_Proyectos!$A:$A,MATCH(A166,Dim_Proyectos!$B:$B,0)),"")</f>
        <v>P003</v>
      </c>
      <c r="C166" s="44" t="s">
        <v>133</v>
      </c>
      <c r="D166" s="44" t="s">
        <v>187</v>
      </c>
      <c r="E166" s="45" t="s">
        <v>282</v>
      </c>
      <c r="F166" s="44"/>
      <c r="G166" s="44"/>
      <c r="H166" s="44"/>
      <c r="I166" s="44" t="s">
        <v>230</v>
      </c>
      <c r="J166" s="44"/>
      <c r="K166" s="44"/>
      <c r="L166" s="44"/>
    </row>
    <row r="167" spans="1:12" ht="15" customHeight="1">
      <c r="A167" s="38" t="s">
        <v>264</v>
      </c>
      <c r="B167" s="39" t="str">
        <f>IFERROR(INDEX(Dim_Proyectos!$A:$A,MATCH(A167,Dim_Proyectos!$B:$B,0)),"")</f>
        <v>P003</v>
      </c>
      <c r="C167" s="40" t="s">
        <v>133</v>
      </c>
      <c r="D167" s="40" t="s">
        <v>192</v>
      </c>
      <c r="E167" s="41" t="s">
        <v>283</v>
      </c>
      <c r="F167" s="40"/>
      <c r="G167" s="40"/>
      <c r="H167" s="40"/>
      <c r="I167" s="40" t="s">
        <v>230</v>
      </c>
      <c r="J167" s="40"/>
      <c r="K167" s="40"/>
      <c r="L167" s="40"/>
    </row>
    <row r="168" spans="1:12" ht="15" customHeight="1">
      <c r="A168" s="38" t="s">
        <v>264</v>
      </c>
      <c r="B168" s="43" t="str">
        <f>IFERROR(INDEX(Dim_Proyectos!$A:$A,MATCH(A168,Dim_Proyectos!$B:$B,0)),"")</f>
        <v>P003</v>
      </c>
      <c r="C168" s="44" t="s">
        <v>133</v>
      </c>
      <c r="D168" s="44" t="s">
        <v>192</v>
      </c>
      <c r="E168" s="45" t="s">
        <v>284</v>
      </c>
      <c r="F168" s="44"/>
      <c r="G168" s="44"/>
      <c r="H168" s="44"/>
      <c r="I168" s="44" t="s">
        <v>230</v>
      </c>
      <c r="J168" s="44"/>
      <c r="K168" s="44"/>
      <c r="L168" s="44"/>
    </row>
    <row r="169" spans="1:12" ht="15" customHeight="1">
      <c r="A169" s="38" t="s">
        <v>264</v>
      </c>
      <c r="B169" s="39" t="str">
        <f>IFERROR(INDEX(Dim_Proyectos!$A:$A,MATCH(A169,Dim_Proyectos!$B:$B,0)),"")</f>
        <v>P003</v>
      </c>
      <c r="C169" s="40" t="s">
        <v>133</v>
      </c>
      <c r="D169" s="40" t="s">
        <v>192</v>
      </c>
      <c r="E169" s="41" t="s">
        <v>285</v>
      </c>
      <c r="F169" s="40"/>
      <c r="G169" s="40"/>
      <c r="H169" s="40"/>
      <c r="I169" s="40" t="s">
        <v>230</v>
      </c>
      <c r="J169" s="40"/>
      <c r="K169" s="40"/>
      <c r="L169" s="40"/>
    </row>
    <row r="170" spans="1:12" ht="15" customHeight="1">
      <c r="A170" s="38" t="s">
        <v>264</v>
      </c>
      <c r="B170" s="43" t="str">
        <f>IFERROR(INDEX(Dim_Proyectos!$A:$A,MATCH(A170,Dim_Proyectos!$B:$B,0)),"")</f>
        <v>P003</v>
      </c>
      <c r="C170" s="44" t="s">
        <v>133</v>
      </c>
      <c r="D170" s="44" t="s">
        <v>192</v>
      </c>
      <c r="E170" s="45" t="s">
        <v>286</v>
      </c>
      <c r="F170" s="44"/>
      <c r="G170" s="44"/>
      <c r="H170" s="44"/>
      <c r="I170" s="44" t="s">
        <v>230</v>
      </c>
      <c r="J170" s="44"/>
      <c r="K170" s="44"/>
      <c r="L170" s="44"/>
    </row>
    <row r="171" spans="1:12" ht="15" customHeight="1">
      <c r="A171" s="38" t="s">
        <v>264</v>
      </c>
      <c r="B171" s="39" t="str">
        <f>IFERROR(INDEX(Dim_Proyectos!$A:$A,MATCH(A171,Dim_Proyectos!$B:$B,0)),"")</f>
        <v>P003</v>
      </c>
      <c r="C171" s="40" t="s">
        <v>133</v>
      </c>
      <c r="D171" s="40" t="s">
        <v>200</v>
      </c>
      <c r="E171" s="41" t="s">
        <v>287</v>
      </c>
      <c r="F171" s="40"/>
      <c r="G171" s="40"/>
      <c r="H171" s="40"/>
      <c r="I171" s="40" t="s">
        <v>230</v>
      </c>
      <c r="J171" s="40"/>
      <c r="K171" s="40"/>
      <c r="L171" s="40"/>
    </row>
    <row r="172" spans="1:12" ht="15" customHeight="1">
      <c r="A172" s="38" t="s">
        <v>264</v>
      </c>
      <c r="B172" s="43" t="str">
        <f>IFERROR(INDEX(Dim_Proyectos!$A:$A,MATCH(A172,Dim_Proyectos!$B:$B,0)),"")</f>
        <v>P003</v>
      </c>
      <c r="C172" s="44" t="s">
        <v>133</v>
      </c>
      <c r="D172" s="44" t="s">
        <v>200</v>
      </c>
      <c r="E172" s="45" t="s">
        <v>288</v>
      </c>
      <c r="F172" s="44"/>
      <c r="G172" s="44"/>
      <c r="H172" s="44"/>
      <c r="I172" s="44" t="s">
        <v>230</v>
      </c>
      <c r="J172" s="44"/>
      <c r="K172" s="44"/>
      <c r="L172" s="44"/>
    </row>
    <row r="173" spans="1:12" ht="20.25" customHeight="1">
      <c r="A173" s="38" t="s">
        <v>264</v>
      </c>
      <c r="B173" s="39" t="str">
        <f>IFERROR(INDEX(Dim_Proyectos!$A:$A,MATCH(A173,Dim_Proyectos!$B:$B,0)),"")</f>
        <v>P003</v>
      </c>
      <c r="C173" s="40" t="s">
        <v>133</v>
      </c>
      <c r="D173" s="40" t="s">
        <v>200</v>
      </c>
      <c r="E173" s="41" t="s">
        <v>289</v>
      </c>
      <c r="F173" s="40"/>
      <c r="G173" s="40"/>
      <c r="H173" s="40"/>
      <c r="I173" s="40" t="s">
        <v>230</v>
      </c>
      <c r="J173" s="40"/>
      <c r="K173" s="40"/>
      <c r="L173" s="40"/>
    </row>
    <row r="174" spans="1:12" ht="15" customHeight="1">
      <c r="A174" s="38" t="s">
        <v>264</v>
      </c>
      <c r="B174" s="43" t="str">
        <f>IFERROR(INDEX(Dim_Proyectos!$A:$A,MATCH(A174,Dim_Proyectos!$B:$B,0)),"")</f>
        <v>P003</v>
      </c>
      <c r="C174" s="44" t="s">
        <v>133</v>
      </c>
      <c r="D174" s="44" t="s">
        <v>202</v>
      </c>
      <c r="E174" s="45" t="s">
        <v>290</v>
      </c>
      <c r="F174" s="44"/>
      <c r="G174" s="44"/>
      <c r="H174" s="44"/>
      <c r="I174" s="44" t="s">
        <v>230</v>
      </c>
      <c r="J174" s="44"/>
      <c r="K174" s="44"/>
      <c r="L174" s="44"/>
    </row>
    <row r="175" spans="1:12" ht="20.25" customHeight="1">
      <c r="A175" s="38" t="s">
        <v>264</v>
      </c>
      <c r="B175" s="39" t="str">
        <f>IFERROR(INDEX(Dim_Proyectos!$A:$A,MATCH(A175,Dim_Proyectos!$B:$B,0)),"")</f>
        <v>P003</v>
      </c>
      <c r="C175" s="40" t="s">
        <v>133</v>
      </c>
      <c r="D175" s="40" t="s">
        <v>202</v>
      </c>
      <c r="E175" s="41" t="s">
        <v>291</v>
      </c>
      <c r="F175" s="40"/>
      <c r="G175" s="40"/>
      <c r="H175" s="40"/>
      <c r="I175" s="40" t="s">
        <v>230</v>
      </c>
      <c r="J175" s="40"/>
      <c r="K175" s="40"/>
      <c r="L175" s="40"/>
    </row>
    <row r="176" spans="1:12" ht="15" customHeight="1">
      <c r="A176" s="38" t="s">
        <v>264</v>
      </c>
      <c r="B176" s="43" t="str">
        <f>IFERROR(INDEX(Dim_Proyectos!$A:$A,MATCH(A176,Dim_Proyectos!$B:$B,0)),"")</f>
        <v>P003</v>
      </c>
      <c r="C176" s="44" t="s">
        <v>133</v>
      </c>
      <c r="D176" s="44" t="s">
        <v>204</v>
      </c>
      <c r="E176" s="45" t="s">
        <v>292</v>
      </c>
      <c r="F176" s="44"/>
      <c r="G176" s="44"/>
      <c r="H176" s="44"/>
      <c r="I176" s="44" t="s">
        <v>230</v>
      </c>
      <c r="J176" s="44"/>
      <c r="K176" s="44"/>
      <c r="L176" s="44"/>
    </row>
    <row r="177" spans="1:12" ht="15" customHeight="1">
      <c r="A177" s="38" t="s">
        <v>264</v>
      </c>
      <c r="B177" s="39" t="str">
        <f>IFERROR(INDEX(Dim_Proyectos!$A:$A,MATCH(A177,Dim_Proyectos!$B:$B,0)),"")</f>
        <v>P003</v>
      </c>
      <c r="C177" s="40" t="s">
        <v>133</v>
      </c>
      <c r="D177" s="40" t="s">
        <v>204</v>
      </c>
      <c r="E177" s="41" t="s">
        <v>293</v>
      </c>
      <c r="F177" s="40"/>
      <c r="G177" s="40"/>
      <c r="H177" s="40"/>
      <c r="I177" s="40" t="s">
        <v>230</v>
      </c>
      <c r="J177" s="40"/>
      <c r="K177" s="40"/>
      <c r="L177" s="40"/>
    </row>
    <row r="178" spans="1:12" ht="15" customHeight="1">
      <c r="A178" s="38" t="s">
        <v>264</v>
      </c>
      <c r="B178" s="43" t="str">
        <f>IFERROR(INDEX(Dim_Proyectos!$A:$A,MATCH(A178,Dim_Proyectos!$B:$B,0)),"")</f>
        <v>P003</v>
      </c>
      <c r="C178" s="44" t="s">
        <v>133</v>
      </c>
      <c r="D178" s="44" t="s">
        <v>206</v>
      </c>
      <c r="E178" s="45" t="s">
        <v>294</v>
      </c>
      <c r="F178" s="44"/>
      <c r="G178" s="44"/>
      <c r="H178" s="44"/>
      <c r="I178" s="44" t="s">
        <v>230</v>
      </c>
      <c r="J178" s="44"/>
      <c r="K178" s="44"/>
      <c r="L178" s="44"/>
    </row>
    <row r="179" spans="1:12" ht="15" customHeight="1">
      <c r="A179" s="38" t="s">
        <v>264</v>
      </c>
      <c r="B179" s="39" t="str">
        <f>IFERROR(INDEX(Dim_Proyectos!$A:$A,MATCH(A179,Dim_Proyectos!$B:$B,0)),"")</f>
        <v>P003</v>
      </c>
      <c r="C179" s="40" t="s">
        <v>133</v>
      </c>
      <c r="D179" s="40" t="s">
        <v>206</v>
      </c>
      <c r="E179" s="41" t="s">
        <v>210</v>
      </c>
      <c r="F179" s="40"/>
      <c r="G179" s="40"/>
      <c r="H179" s="40"/>
      <c r="I179" s="40" t="s">
        <v>230</v>
      </c>
      <c r="J179" s="40"/>
      <c r="K179" s="40"/>
      <c r="L179" s="40"/>
    </row>
    <row r="180" spans="1:12" ht="15" customHeight="1">
      <c r="A180" s="38" t="s">
        <v>264</v>
      </c>
      <c r="B180" s="43" t="str">
        <f>IFERROR(INDEX(Dim_Proyectos!$A:$A,MATCH(A180,Dim_Proyectos!$B:$B,0)),"")</f>
        <v>P003</v>
      </c>
      <c r="C180" s="44" t="s">
        <v>133</v>
      </c>
      <c r="D180" s="44" t="s">
        <v>206</v>
      </c>
      <c r="E180" s="45" t="s">
        <v>295</v>
      </c>
      <c r="F180" s="44"/>
      <c r="G180" s="44"/>
      <c r="H180" s="44"/>
      <c r="I180" s="44" t="s">
        <v>230</v>
      </c>
      <c r="J180" s="44"/>
      <c r="K180" s="44"/>
      <c r="L180" s="44"/>
    </row>
    <row r="181" spans="1:12" ht="15" customHeight="1">
      <c r="A181" s="38" t="s">
        <v>264</v>
      </c>
      <c r="B181" s="39" t="str">
        <f>IFERROR(INDEX(Dim_Proyectos!$A:$A,MATCH(A181,Dim_Proyectos!$B:$B,0)),"")</f>
        <v>P003</v>
      </c>
      <c r="C181" s="40" t="s">
        <v>133</v>
      </c>
      <c r="D181" s="40" t="s">
        <v>206</v>
      </c>
      <c r="E181" s="41" t="s">
        <v>296</v>
      </c>
      <c r="F181" s="40"/>
      <c r="G181" s="40"/>
      <c r="H181" s="40"/>
      <c r="I181" s="40" t="s">
        <v>230</v>
      </c>
      <c r="J181" s="40"/>
      <c r="K181" s="40"/>
      <c r="L181" s="40"/>
    </row>
    <row r="182" spans="1:12" ht="20.25" customHeight="1">
      <c r="A182" s="38" t="s">
        <v>264</v>
      </c>
      <c r="B182" s="43" t="str">
        <f>IFERROR(INDEX(Dim_Proyectos!$A:$A,MATCH(A182,Dim_Proyectos!$B:$B,0)),"")</f>
        <v>P003</v>
      </c>
      <c r="C182" s="44" t="s">
        <v>133</v>
      </c>
      <c r="D182" s="44" t="s">
        <v>206</v>
      </c>
      <c r="E182" s="45" t="s">
        <v>297</v>
      </c>
      <c r="F182" s="44"/>
      <c r="G182" s="44"/>
      <c r="H182" s="44"/>
      <c r="I182" s="44" t="s">
        <v>230</v>
      </c>
      <c r="J182" s="44"/>
      <c r="K182" s="44"/>
      <c r="L182" s="44"/>
    </row>
    <row r="183" spans="1:12" ht="15" customHeight="1">
      <c r="A183" s="38" t="s">
        <v>264</v>
      </c>
      <c r="B183" s="39" t="str">
        <f>IFERROR(INDEX(Dim_Proyectos!$A:$A,MATCH(A183,Dim_Proyectos!$B:$B,0)),"")</f>
        <v>P003</v>
      </c>
      <c r="C183" s="40" t="s">
        <v>133</v>
      </c>
      <c r="D183" s="40" t="s">
        <v>206</v>
      </c>
      <c r="E183" s="41" t="s">
        <v>298</v>
      </c>
      <c r="F183" s="40"/>
      <c r="G183" s="40"/>
      <c r="H183" s="40"/>
      <c r="I183" s="40" t="s">
        <v>230</v>
      </c>
      <c r="J183" s="40"/>
      <c r="K183" s="40"/>
      <c r="L183" s="40"/>
    </row>
    <row r="184" spans="1:12" ht="15" customHeight="1">
      <c r="A184" s="38" t="s">
        <v>264</v>
      </c>
      <c r="B184" s="43" t="str">
        <f>IFERROR(INDEX(Dim_Proyectos!$A:$A,MATCH(A184,Dim_Proyectos!$B:$B,0)),"")</f>
        <v>P003</v>
      </c>
      <c r="C184" s="44" t="s">
        <v>133</v>
      </c>
      <c r="D184" s="44" t="s">
        <v>206</v>
      </c>
      <c r="E184" s="45" t="s">
        <v>260</v>
      </c>
      <c r="F184" s="44"/>
      <c r="G184" s="44"/>
      <c r="H184" s="44"/>
      <c r="I184" s="44" t="s">
        <v>230</v>
      </c>
      <c r="J184" s="44"/>
      <c r="K184" s="44"/>
      <c r="L184" s="44"/>
    </row>
    <row r="185" spans="1:12" ht="15" customHeight="1">
      <c r="A185" s="38" t="s">
        <v>264</v>
      </c>
      <c r="B185" s="39" t="str">
        <f>IFERROR(INDEX(Dim_Proyectos!$A:$A,MATCH(A185,Dim_Proyectos!$B:$B,0)),"")</f>
        <v>P003</v>
      </c>
      <c r="C185" s="40" t="s">
        <v>133</v>
      </c>
      <c r="D185" s="40" t="s">
        <v>206</v>
      </c>
      <c r="E185" s="41" t="s">
        <v>262</v>
      </c>
      <c r="F185" s="40"/>
      <c r="G185" s="40"/>
      <c r="H185" s="40"/>
      <c r="I185" s="40" t="s">
        <v>230</v>
      </c>
      <c r="J185" s="40"/>
      <c r="K185" s="40"/>
      <c r="L185" s="40"/>
    </row>
    <row r="186" spans="1:12" ht="15" customHeight="1">
      <c r="A186" s="38" t="s">
        <v>264</v>
      </c>
      <c r="B186" s="43" t="str">
        <f>IFERROR(INDEX(Dim_Proyectos!$A:$A,MATCH(A186,Dim_Proyectos!$B:$B,0)),"")</f>
        <v>P003</v>
      </c>
      <c r="C186" s="44" t="s">
        <v>133</v>
      </c>
      <c r="D186" s="44" t="s">
        <v>206</v>
      </c>
      <c r="E186" s="45" t="s">
        <v>299</v>
      </c>
      <c r="F186" s="44"/>
      <c r="G186" s="44"/>
      <c r="H186" s="44"/>
      <c r="I186" s="44" t="s">
        <v>230</v>
      </c>
      <c r="J186" s="44"/>
      <c r="K186" s="44"/>
      <c r="L186" s="44"/>
    </row>
    <row r="187" spans="1:12" ht="15" customHeight="1">
      <c r="A187" s="38" t="s">
        <v>264</v>
      </c>
      <c r="B187" s="39" t="str">
        <f>IFERROR(INDEX(Dim_Proyectos!$A:$A,MATCH(A187,Dim_Proyectos!$B:$B,0)),"")</f>
        <v>P003</v>
      </c>
      <c r="C187" s="40" t="s">
        <v>133</v>
      </c>
      <c r="D187" s="40" t="s">
        <v>206</v>
      </c>
      <c r="E187" s="41" t="s">
        <v>300</v>
      </c>
      <c r="F187" s="40"/>
      <c r="G187" s="40"/>
      <c r="H187" s="40"/>
      <c r="I187" s="40" t="s">
        <v>230</v>
      </c>
      <c r="J187" s="40"/>
      <c r="K187" s="40"/>
      <c r="L187" s="40"/>
    </row>
    <row r="188" spans="1:12" ht="15" customHeight="1">
      <c r="A188" s="38" t="s">
        <v>264</v>
      </c>
      <c r="B188" s="43" t="str">
        <f>IFERROR(INDEX(Dim_Proyectos!$A:$A,MATCH(A188,Dim_Proyectos!$B:$B,0)),"")</f>
        <v>P003</v>
      </c>
      <c r="C188" s="44" t="s">
        <v>133</v>
      </c>
      <c r="D188" s="44" t="s">
        <v>206</v>
      </c>
      <c r="E188" s="45" t="s">
        <v>301</v>
      </c>
      <c r="F188" s="44"/>
      <c r="G188" s="44"/>
      <c r="H188" s="44"/>
      <c r="I188" s="44" t="s">
        <v>230</v>
      </c>
      <c r="J188" s="44"/>
      <c r="K188" s="44"/>
      <c r="L188" s="44"/>
    </row>
    <row r="189" spans="1:12" ht="15" customHeight="1">
      <c r="A189" s="38" t="s">
        <v>264</v>
      </c>
      <c r="B189" s="39" t="str">
        <f>IFERROR(INDEX(Dim_Proyectos!$A:$A,MATCH(A189,Dim_Proyectos!$B:$B,0)),"")</f>
        <v>P003</v>
      </c>
      <c r="C189" s="40" t="s">
        <v>133</v>
      </c>
      <c r="D189" s="40" t="s">
        <v>206</v>
      </c>
      <c r="E189" s="41" t="s">
        <v>302</v>
      </c>
      <c r="F189" s="40"/>
      <c r="G189" s="40"/>
      <c r="H189" s="40"/>
      <c r="I189" s="40" t="s">
        <v>230</v>
      </c>
      <c r="J189" s="40"/>
      <c r="K189" s="40"/>
      <c r="L189" s="40"/>
    </row>
    <row r="190" spans="1:12" ht="15" customHeight="1">
      <c r="A190" s="38" t="s">
        <v>264</v>
      </c>
      <c r="B190" s="43" t="str">
        <f>IFERROR(INDEX(Dim_Proyectos!$A:$A,MATCH(A190,Dim_Proyectos!$B:$B,0)),"")</f>
        <v>P003</v>
      </c>
      <c r="C190" s="44" t="s">
        <v>133</v>
      </c>
      <c r="D190" s="44" t="s">
        <v>206</v>
      </c>
      <c r="E190" s="45" t="s">
        <v>303</v>
      </c>
      <c r="F190" s="44"/>
      <c r="G190" s="44"/>
      <c r="H190" s="44"/>
      <c r="I190" s="44" t="s">
        <v>230</v>
      </c>
      <c r="J190" s="44"/>
      <c r="K190" s="44"/>
      <c r="L190" s="44"/>
    </row>
    <row r="191" spans="1:12" ht="15" customHeight="1">
      <c r="A191" s="38" t="s">
        <v>264</v>
      </c>
      <c r="B191" s="39" t="str">
        <f>IFERROR(INDEX(Dim_Proyectos!$A:$A,MATCH(A191,Dim_Proyectos!$B:$B,0)),"")</f>
        <v>P003</v>
      </c>
      <c r="C191" s="40" t="s">
        <v>133</v>
      </c>
      <c r="D191" s="40" t="s">
        <v>206</v>
      </c>
      <c r="E191" s="41" t="s">
        <v>304</v>
      </c>
      <c r="F191" s="40"/>
      <c r="G191" s="40"/>
      <c r="H191" s="40"/>
      <c r="I191" s="40" t="s">
        <v>230</v>
      </c>
      <c r="J191" s="40"/>
      <c r="K191" s="40"/>
      <c r="L191" s="40"/>
    </row>
    <row r="192" spans="1:12" ht="15" customHeight="1">
      <c r="A192" s="38" t="s">
        <v>264</v>
      </c>
      <c r="B192" s="43" t="str">
        <f>IFERROR(INDEX(Dim_Proyectos!$A:$A,MATCH(A192,Dim_Proyectos!$B:$B,0)),"")</f>
        <v>P003</v>
      </c>
      <c r="C192" s="44" t="s">
        <v>133</v>
      </c>
      <c r="D192" s="44" t="s">
        <v>206</v>
      </c>
      <c r="E192" s="45" t="s">
        <v>305</v>
      </c>
      <c r="F192" s="44"/>
      <c r="G192" s="44"/>
      <c r="H192" s="44"/>
      <c r="I192" s="44" t="s">
        <v>230</v>
      </c>
      <c r="J192" s="44"/>
      <c r="K192" s="44"/>
      <c r="L192" s="44"/>
    </row>
    <row r="193" spans="1:12" ht="15" customHeight="1">
      <c r="A193" s="38" t="s">
        <v>264</v>
      </c>
      <c r="B193" s="39" t="str">
        <f>IFERROR(INDEX(Dim_Proyectos!$A:$A,MATCH(A193,Dim_Proyectos!$B:$B,0)),"")</f>
        <v>P003</v>
      </c>
      <c r="C193" s="40" t="s">
        <v>133</v>
      </c>
      <c r="D193" s="40" t="s">
        <v>206</v>
      </c>
      <c r="E193" s="41" t="s">
        <v>306</v>
      </c>
      <c r="F193" s="40"/>
      <c r="G193" s="40"/>
      <c r="H193" s="40"/>
      <c r="I193" s="40" t="s">
        <v>230</v>
      </c>
      <c r="J193" s="40"/>
      <c r="K193" s="40"/>
      <c r="L193" s="40"/>
    </row>
    <row r="194" spans="1:12" ht="15" customHeight="1">
      <c r="A194" s="38" t="s">
        <v>264</v>
      </c>
      <c r="B194" s="43" t="str">
        <f>IFERROR(INDEX(Dim_Proyectos!$A:$A,MATCH(A194,Dim_Proyectos!$B:$B,0)),"")</f>
        <v>P003</v>
      </c>
      <c r="C194" s="44" t="s">
        <v>133</v>
      </c>
      <c r="D194" s="44" t="s">
        <v>206</v>
      </c>
      <c r="E194" s="45" t="s">
        <v>307</v>
      </c>
      <c r="F194" s="44"/>
      <c r="G194" s="44"/>
      <c r="H194" s="44"/>
      <c r="I194" s="44" t="s">
        <v>230</v>
      </c>
      <c r="J194" s="44"/>
      <c r="K194" s="44"/>
      <c r="L194" s="44"/>
    </row>
    <row r="195" spans="1:12" ht="15" customHeight="1">
      <c r="A195" s="38" t="s">
        <v>264</v>
      </c>
      <c r="B195" s="39" t="str">
        <f>IFERROR(INDEX(Dim_Proyectos!$A:$A,MATCH(A195,Dim_Proyectos!$B:$B,0)),"")</f>
        <v>P003</v>
      </c>
      <c r="C195" s="40" t="s">
        <v>133</v>
      </c>
      <c r="D195" s="40" t="s">
        <v>206</v>
      </c>
      <c r="E195" s="41" t="s">
        <v>308</v>
      </c>
      <c r="F195" s="40"/>
      <c r="G195" s="40"/>
      <c r="H195" s="40"/>
      <c r="I195" s="40" t="s">
        <v>230</v>
      </c>
      <c r="J195" s="40"/>
      <c r="K195" s="40"/>
      <c r="L195" s="40"/>
    </row>
    <row r="196" spans="1:12" ht="15" customHeight="1">
      <c r="A196" s="38" t="s">
        <v>264</v>
      </c>
      <c r="B196" s="43" t="str">
        <f>IFERROR(INDEX(Dim_Proyectos!$A:$A,MATCH(A196,Dim_Proyectos!$B:$B,0)),"")</f>
        <v>P003</v>
      </c>
      <c r="C196" s="44" t="s">
        <v>133</v>
      </c>
      <c r="D196" s="44" t="s">
        <v>226</v>
      </c>
      <c r="E196" s="45" t="s">
        <v>309</v>
      </c>
      <c r="F196" s="44"/>
      <c r="G196" s="44"/>
      <c r="H196" s="44"/>
      <c r="I196" s="44" t="s">
        <v>230</v>
      </c>
      <c r="J196" s="44"/>
      <c r="K196" s="44"/>
      <c r="L196" s="44"/>
    </row>
    <row r="197" spans="1:12" ht="15" customHeight="1">
      <c r="A197" s="38" t="s">
        <v>264</v>
      </c>
      <c r="B197" s="39" t="str">
        <f>IFERROR(INDEX(Dim_Proyectos!$A:$A,MATCH(A197,Dim_Proyectos!$B:$B,0)),"")</f>
        <v>P003</v>
      </c>
      <c r="C197" s="40" t="s">
        <v>133</v>
      </c>
      <c r="D197" s="40" t="s">
        <v>226</v>
      </c>
      <c r="E197" s="41" t="s">
        <v>310</v>
      </c>
      <c r="F197" s="40"/>
      <c r="G197" s="40"/>
      <c r="H197" s="40"/>
      <c r="I197" s="40" t="s">
        <v>230</v>
      </c>
      <c r="J197" s="40"/>
      <c r="K197" s="40"/>
      <c r="L197" s="40"/>
    </row>
    <row r="198" spans="1:12" ht="15" customHeight="1">
      <c r="A198" s="38" t="s">
        <v>311</v>
      </c>
      <c r="B198" s="43" t="str">
        <f>IFERROR(INDEX(Dim_Proyectos!$A:$A,MATCH(A198,Dim_Proyectos!$B:$B,0)),"")</f>
        <v>P004</v>
      </c>
      <c r="C198" s="44" t="s">
        <v>228</v>
      </c>
      <c r="D198" s="44"/>
      <c r="E198" s="45" t="s">
        <v>228</v>
      </c>
      <c r="F198" s="44"/>
      <c r="G198" s="44"/>
      <c r="H198" s="44"/>
      <c r="I198" s="44"/>
      <c r="J198" s="44"/>
      <c r="K198" s="44"/>
      <c r="L198" s="44"/>
    </row>
    <row r="199" spans="1:12" ht="15" customHeight="1">
      <c r="A199" s="38" t="s">
        <v>311</v>
      </c>
      <c r="B199" s="39" t="str">
        <f>IFERROR(INDEX(Dim_Proyectos!$A:$A,MATCH(A199,Dim_Proyectos!$B:$B,0)),"")</f>
        <v>P004</v>
      </c>
      <c r="C199" s="40" t="s">
        <v>133</v>
      </c>
      <c r="D199" s="40" t="s">
        <v>134</v>
      </c>
      <c r="E199" s="41" t="s">
        <v>135</v>
      </c>
      <c r="F199" s="40"/>
      <c r="G199" s="40"/>
      <c r="H199" s="40"/>
      <c r="I199" s="40"/>
      <c r="J199" s="40"/>
      <c r="K199" s="40"/>
      <c r="L199" s="40"/>
    </row>
    <row r="200" spans="1:12" ht="15" customHeight="1">
      <c r="A200" s="38" t="s">
        <v>311</v>
      </c>
      <c r="B200" s="43" t="str">
        <f>IFERROR(INDEX(Dim_Proyectos!$A:$A,MATCH(A200,Dim_Proyectos!$B:$B,0)),"")</f>
        <v>P004</v>
      </c>
      <c r="C200" s="44" t="s">
        <v>133</v>
      </c>
      <c r="D200" s="44" t="s">
        <v>138</v>
      </c>
      <c r="E200" s="45" t="s">
        <v>139</v>
      </c>
      <c r="F200" s="44"/>
      <c r="G200" s="44"/>
      <c r="H200" s="44"/>
      <c r="I200" s="44"/>
      <c r="J200" s="44"/>
      <c r="K200" s="44"/>
      <c r="L200" s="44"/>
    </row>
    <row r="201" spans="1:12" ht="15" customHeight="1">
      <c r="A201" s="38" t="s">
        <v>311</v>
      </c>
      <c r="B201" s="39" t="str">
        <f>IFERROR(INDEX(Dim_Proyectos!$A:$A,MATCH(A201,Dim_Proyectos!$B:$B,0)),"")</f>
        <v>P004</v>
      </c>
      <c r="C201" s="40" t="s">
        <v>133</v>
      </c>
      <c r="D201" s="40" t="s">
        <v>140</v>
      </c>
      <c r="E201" s="41" t="s">
        <v>141</v>
      </c>
      <c r="F201" s="40"/>
      <c r="G201" s="40"/>
      <c r="H201" s="40"/>
      <c r="I201" s="40"/>
      <c r="J201" s="40"/>
      <c r="K201" s="40"/>
      <c r="L201" s="40"/>
    </row>
    <row r="202" spans="1:12" ht="20.25" customHeight="1">
      <c r="A202" s="38" t="s">
        <v>311</v>
      </c>
      <c r="B202" s="43" t="str">
        <f>IFERROR(INDEX(Dim_Proyectos!$A:$A,MATCH(A202,Dim_Proyectos!$B:$B,0)),"")</f>
        <v>P004</v>
      </c>
      <c r="C202" s="44" t="s">
        <v>133</v>
      </c>
      <c r="D202" s="44" t="s">
        <v>140</v>
      </c>
      <c r="E202" s="45" t="s">
        <v>144</v>
      </c>
      <c r="F202" s="44"/>
      <c r="G202" s="44"/>
      <c r="H202" s="44"/>
      <c r="I202" s="44"/>
      <c r="J202" s="44"/>
      <c r="K202" s="44"/>
      <c r="L202" s="44"/>
    </row>
    <row r="203" spans="1:12" ht="15" customHeight="1">
      <c r="A203" s="38" t="s">
        <v>311</v>
      </c>
      <c r="B203" s="39" t="str">
        <f>IFERROR(INDEX(Dim_Proyectos!$A:$A,MATCH(A203,Dim_Proyectos!$B:$B,0)),"")</f>
        <v>P004</v>
      </c>
      <c r="C203" s="40" t="s">
        <v>133</v>
      </c>
      <c r="D203" s="40" t="s">
        <v>140</v>
      </c>
      <c r="E203" s="41" t="s">
        <v>231</v>
      </c>
      <c r="F203" s="40"/>
      <c r="G203" s="40"/>
      <c r="H203" s="40"/>
      <c r="I203" s="40"/>
      <c r="J203" s="40"/>
      <c r="K203" s="40"/>
      <c r="L203" s="40"/>
    </row>
    <row r="204" spans="1:12" ht="15" customHeight="1">
      <c r="A204" s="38" t="s">
        <v>311</v>
      </c>
      <c r="B204" s="43" t="str">
        <f>IFERROR(INDEX(Dim_Proyectos!$A:$A,MATCH(A204,Dim_Proyectos!$B:$B,0)),"")</f>
        <v>P004</v>
      </c>
      <c r="C204" s="44" t="s">
        <v>133</v>
      </c>
      <c r="D204" s="44" t="s">
        <v>140</v>
      </c>
      <c r="E204" s="45" t="s">
        <v>232</v>
      </c>
      <c r="F204" s="44"/>
      <c r="G204" s="44"/>
      <c r="H204" s="44"/>
      <c r="I204" s="44"/>
      <c r="J204" s="44"/>
      <c r="K204" s="44"/>
      <c r="L204" s="44"/>
    </row>
    <row r="205" spans="1:12" ht="15" customHeight="1">
      <c r="A205" s="38" t="s">
        <v>311</v>
      </c>
      <c r="B205" s="39" t="str">
        <f>IFERROR(INDEX(Dim_Proyectos!$A:$A,MATCH(A205,Dim_Proyectos!$B:$B,0)),"")</f>
        <v>P004</v>
      </c>
      <c r="C205" s="40" t="s">
        <v>133</v>
      </c>
      <c r="D205" s="40" t="s">
        <v>145</v>
      </c>
      <c r="E205" s="41" t="s">
        <v>146</v>
      </c>
      <c r="F205" s="40"/>
      <c r="G205" s="40"/>
      <c r="H205" s="40"/>
      <c r="I205" s="40"/>
      <c r="J205" s="40"/>
      <c r="K205" s="40"/>
      <c r="L205" s="40"/>
    </row>
    <row r="206" spans="1:12" ht="15" customHeight="1">
      <c r="A206" s="38" t="s">
        <v>311</v>
      </c>
      <c r="B206" s="43" t="str">
        <f>IFERROR(INDEX(Dim_Proyectos!$A:$A,MATCH(A206,Dim_Proyectos!$B:$B,0)),"")</f>
        <v>P004</v>
      </c>
      <c r="C206" s="44" t="s">
        <v>133</v>
      </c>
      <c r="D206" s="44" t="s">
        <v>145</v>
      </c>
      <c r="E206" s="45" t="s">
        <v>148</v>
      </c>
      <c r="F206" s="44"/>
      <c r="G206" s="44"/>
      <c r="H206" s="44"/>
      <c r="I206" s="44"/>
      <c r="J206" s="44"/>
      <c r="K206" s="44"/>
      <c r="L206" s="44"/>
    </row>
    <row r="207" spans="1:12" ht="15" customHeight="1">
      <c r="A207" s="38" t="s">
        <v>311</v>
      </c>
      <c r="B207" s="39" t="str">
        <f>IFERROR(INDEX(Dim_Proyectos!$A:$A,MATCH(A207,Dim_Proyectos!$B:$B,0)),"")</f>
        <v>P004</v>
      </c>
      <c r="C207" s="40" t="s">
        <v>133</v>
      </c>
      <c r="D207" s="40" t="s">
        <v>150</v>
      </c>
      <c r="E207" s="41" t="s">
        <v>40</v>
      </c>
      <c r="F207" s="40"/>
      <c r="G207" s="40"/>
      <c r="H207" s="40"/>
      <c r="I207" s="40"/>
      <c r="J207" s="40"/>
      <c r="K207" s="40"/>
      <c r="L207" s="40"/>
    </row>
    <row r="208" spans="1:12" ht="15" customHeight="1">
      <c r="A208" s="38" t="s">
        <v>311</v>
      </c>
      <c r="B208" s="43" t="str">
        <f>IFERROR(INDEX(Dim_Proyectos!$A:$A,MATCH(A208,Dim_Proyectos!$B:$B,0)),"")</f>
        <v>P004</v>
      </c>
      <c r="C208" s="44" t="s">
        <v>133</v>
      </c>
      <c r="D208" s="44" t="s">
        <v>152</v>
      </c>
      <c r="E208" s="45" t="s">
        <v>233</v>
      </c>
      <c r="F208" s="44"/>
      <c r="G208" s="44"/>
      <c r="H208" s="44"/>
      <c r="I208" s="44"/>
      <c r="J208" s="44"/>
      <c r="K208" s="44"/>
      <c r="L208" s="44"/>
    </row>
    <row r="209" spans="1:12" ht="15" customHeight="1">
      <c r="A209" s="38" t="s">
        <v>311</v>
      </c>
      <c r="B209" s="39" t="str">
        <f>IFERROR(INDEX(Dim_Proyectos!$A:$A,MATCH(A209,Dim_Proyectos!$B:$B,0)),"")</f>
        <v>P004</v>
      </c>
      <c r="C209" s="40" t="s">
        <v>133</v>
      </c>
      <c r="D209" s="40" t="s">
        <v>152</v>
      </c>
      <c r="E209" s="41" t="s">
        <v>154</v>
      </c>
      <c r="F209" s="40"/>
      <c r="G209" s="40"/>
      <c r="H209" s="40"/>
      <c r="I209" s="40"/>
      <c r="J209" s="40"/>
      <c r="K209" s="40"/>
      <c r="L209" s="40"/>
    </row>
    <row r="210" spans="1:12" ht="15" customHeight="1">
      <c r="A210" s="38" t="s">
        <v>311</v>
      </c>
      <c r="B210" s="43" t="str">
        <f>IFERROR(INDEX(Dim_Proyectos!$A:$A,MATCH(A210,Dim_Proyectos!$B:$B,0)),"")</f>
        <v>P004</v>
      </c>
      <c r="C210" s="44" t="s">
        <v>133</v>
      </c>
      <c r="D210" s="44" t="s">
        <v>152</v>
      </c>
      <c r="E210" s="45" t="s">
        <v>265</v>
      </c>
      <c r="F210" s="44"/>
      <c r="G210" s="44"/>
      <c r="H210" s="44"/>
      <c r="I210" s="44"/>
      <c r="J210" s="44"/>
      <c r="K210" s="44"/>
      <c r="L210" s="44"/>
    </row>
    <row r="211" spans="1:12" ht="15" customHeight="1">
      <c r="A211" s="38" t="s">
        <v>311</v>
      </c>
      <c r="B211" s="39" t="str">
        <f>IFERROR(INDEX(Dim_Proyectos!$A:$A,MATCH(A211,Dim_Proyectos!$B:$B,0)),"")</f>
        <v>P004</v>
      </c>
      <c r="C211" s="40" t="s">
        <v>133</v>
      </c>
      <c r="D211" s="40" t="s">
        <v>152</v>
      </c>
      <c r="E211" s="41" t="s">
        <v>266</v>
      </c>
      <c r="F211" s="40"/>
      <c r="G211" s="40"/>
      <c r="H211" s="40"/>
      <c r="I211" s="40"/>
      <c r="J211" s="40"/>
      <c r="K211" s="40"/>
      <c r="L211" s="40"/>
    </row>
    <row r="212" spans="1:12" ht="15" customHeight="1">
      <c r="A212" s="38" t="s">
        <v>311</v>
      </c>
      <c r="B212" s="43" t="str">
        <f>IFERROR(INDEX(Dim_Proyectos!$A:$A,MATCH(A212,Dim_Proyectos!$B:$B,0)),"")</f>
        <v>P004</v>
      </c>
      <c r="C212" s="44" t="s">
        <v>133</v>
      </c>
      <c r="D212" s="44" t="s">
        <v>157</v>
      </c>
      <c r="E212" s="45" t="s">
        <v>234</v>
      </c>
      <c r="F212" s="44"/>
      <c r="G212" s="44"/>
      <c r="H212" s="44"/>
      <c r="I212" s="44"/>
      <c r="J212" s="44"/>
      <c r="K212" s="44"/>
      <c r="L212" s="44"/>
    </row>
    <row r="213" spans="1:12" ht="15" customHeight="1">
      <c r="A213" s="38" t="s">
        <v>311</v>
      </c>
      <c r="B213" s="39" t="str">
        <f>IFERROR(INDEX(Dim_Proyectos!$A:$A,MATCH(A213,Dim_Proyectos!$B:$B,0)),"")</f>
        <v>P004</v>
      </c>
      <c r="C213" s="40" t="s">
        <v>133</v>
      </c>
      <c r="D213" s="40" t="s">
        <v>157</v>
      </c>
      <c r="E213" s="41" t="s">
        <v>235</v>
      </c>
      <c r="F213" s="40"/>
      <c r="G213" s="40"/>
      <c r="H213" s="40"/>
      <c r="I213" s="40"/>
      <c r="J213" s="40"/>
      <c r="K213" s="40"/>
      <c r="L213" s="40"/>
    </row>
    <row r="214" spans="1:12" ht="15" customHeight="1">
      <c r="A214" s="38" t="s">
        <v>311</v>
      </c>
      <c r="B214" s="43" t="str">
        <f>IFERROR(INDEX(Dim_Proyectos!$A:$A,MATCH(A214,Dim_Proyectos!$B:$B,0)),"")</f>
        <v>P004</v>
      </c>
      <c r="C214" s="44" t="s">
        <v>133</v>
      </c>
      <c r="D214" s="44" t="s">
        <v>157</v>
      </c>
      <c r="E214" s="45" t="s">
        <v>236</v>
      </c>
      <c r="F214" s="44"/>
      <c r="G214" s="44"/>
      <c r="H214" s="44"/>
      <c r="I214" s="44"/>
      <c r="J214" s="44"/>
      <c r="K214" s="44"/>
      <c r="L214" s="44"/>
    </row>
    <row r="215" spans="1:12" ht="15" customHeight="1">
      <c r="A215" s="38" t="s">
        <v>311</v>
      </c>
      <c r="B215" s="39" t="str">
        <f>IFERROR(INDEX(Dim_Proyectos!$A:$A,MATCH(A215,Dim_Proyectos!$B:$B,0)),"")</f>
        <v>P004</v>
      </c>
      <c r="C215" s="40" t="s">
        <v>133</v>
      </c>
      <c r="D215" s="40" t="s">
        <v>157</v>
      </c>
      <c r="E215" s="41" t="s">
        <v>163</v>
      </c>
      <c r="F215" s="40"/>
      <c r="G215" s="40"/>
      <c r="H215" s="40"/>
      <c r="I215" s="40"/>
      <c r="J215" s="40"/>
      <c r="K215" s="40"/>
      <c r="L215" s="40"/>
    </row>
    <row r="216" spans="1:12" ht="15" customHeight="1">
      <c r="A216" s="38" t="s">
        <v>311</v>
      </c>
      <c r="B216" s="43" t="str">
        <f>IFERROR(INDEX(Dim_Proyectos!$A:$A,MATCH(A216,Dim_Proyectos!$B:$B,0)),"")</f>
        <v>P004</v>
      </c>
      <c r="C216" s="44" t="s">
        <v>133</v>
      </c>
      <c r="D216" s="44" t="s">
        <v>157</v>
      </c>
      <c r="E216" s="45" t="s">
        <v>237</v>
      </c>
      <c r="F216" s="44"/>
      <c r="G216" s="44"/>
      <c r="H216" s="44"/>
      <c r="I216" s="44"/>
      <c r="J216" s="44"/>
      <c r="K216" s="44"/>
      <c r="L216" s="44"/>
    </row>
    <row r="217" spans="1:12" ht="15" customHeight="1">
      <c r="A217" s="38" t="s">
        <v>311</v>
      </c>
      <c r="B217" s="39" t="str">
        <f>IFERROR(INDEX(Dim_Proyectos!$A:$A,MATCH(A217,Dim_Proyectos!$B:$B,0)),"")</f>
        <v>P004</v>
      </c>
      <c r="C217" s="40" t="s">
        <v>133</v>
      </c>
      <c r="D217" s="40" t="s">
        <v>157</v>
      </c>
      <c r="E217" s="41" t="s">
        <v>238</v>
      </c>
      <c r="F217" s="40"/>
      <c r="G217" s="40"/>
      <c r="H217" s="40"/>
      <c r="I217" s="40"/>
      <c r="J217" s="40"/>
      <c r="K217" s="40"/>
      <c r="L217" s="40"/>
    </row>
    <row r="218" spans="1:12" ht="15" customHeight="1">
      <c r="A218" s="38" t="s">
        <v>311</v>
      </c>
      <c r="B218" s="43" t="str">
        <f>IFERROR(INDEX(Dim_Proyectos!$A:$A,MATCH(A218,Dim_Proyectos!$B:$B,0)),"")</f>
        <v>P004</v>
      </c>
      <c r="C218" s="44" t="s">
        <v>133</v>
      </c>
      <c r="D218" s="44" t="s">
        <v>157</v>
      </c>
      <c r="E218" s="45" t="s">
        <v>239</v>
      </c>
      <c r="F218" s="44"/>
      <c r="G218" s="44"/>
      <c r="H218" s="44"/>
      <c r="I218" s="44"/>
      <c r="J218" s="44"/>
      <c r="K218" s="44"/>
      <c r="L218" s="44"/>
    </row>
    <row r="219" spans="1:12" ht="15" customHeight="1">
      <c r="A219" s="38" t="s">
        <v>311</v>
      </c>
      <c r="B219" s="39" t="str">
        <f>IFERROR(INDEX(Dim_Proyectos!$A:$A,MATCH(A219,Dim_Proyectos!$B:$B,0)),"")</f>
        <v>P004</v>
      </c>
      <c r="C219" s="40" t="s">
        <v>133</v>
      </c>
      <c r="D219" s="40" t="s">
        <v>157</v>
      </c>
      <c r="E219" s="41" t="s">
        <v>267</v>
      </c>
      <c r="F219" s="40"/>
      <c r="G219" s="40"/>
      <c r="H219" s="40"/>
      <c r="I219" s="40"/>
      <c r="J219" s="40"/>
      <c r="K219" s="40"/>
      <c r="L219" s="40"/>
    </row>
    <row r="220" spans="1:12" ht="15" customHeight="1">
      <c r="A220" s="38" t="s">
        <v>311</v>
      </c>
      <c r="B220" s="43" t="str">
        <f>IFERROR(INDEX(Dim_Proyectos!$A:$A,MATCH(A220,Dim_Proyectos!$B:$B,0)),"")</f>
        <v>P004</v>
      </c>
      <c r="C220" s="44" t="s">
        <v>133</v>
      </c>
      <c r="D220" s="44" t="s">
        <v>157</v>
      </c>
      <c r="E220" s="45" t="s">
        <v>268</v>
      </c>
      <c r="F220" s="44"/>
      <c r="G220" s="44"/>
      <c r="H220" s="44"/>
      <c r="I220" s="44"/>
      <c r="J220" s="44"/>
      <c r="K220" s="44"/>
      <c r="L220" s="44"/>
    </row>
    <row r="221" spans="1:12" ht="15" customHeight="1">
      <c r="A221" s="38" t="s">
        <v>311</v>
      </c>
      <c r="B221" s="39" t="str">
        <f>IFERROR(INDEX(Dim_Proyectos!$A:$A,MATCH(A221,Dim_Proyectos!$B:$B,0)),"")</f>
        <v>P004</v>
      </c>
      <c r="C221" s="40" t="s">
        <v>133</v>
      </c>
      <c r="D221" s="40" t="s">
        <v>157</v>
      </c>
      <c r="E221" s="41" t="s">
        <v>162</v>
      </c>
      <c r="F221" s="40"/>
      <c r="G221" s="40"/>
      <c r="H221" s="40"/>
      <c r="I221" s="40"/>
      <c r="J221" s="40"/>
      <c r="K221" s="40"/>
      <c r="L221" s="40"/>
    </row>
    <row r="222" spans="1:12" ht="15" customHeight="1">
      <c r="A222" s="38" t="s">
        <v>311</v>
      </c>
      <c r="B222" s="43" t="str">
        <f>IFERROR(INDEX(Dim_Proyectos!$A:$A,MATCH(A222,Dim_Proyectos!$B:$B,0)),"")</f>
        <v>P004</v>
      </c>
      <c r="C222" s="44" t="s">
        <v>133</v>
      </c>
      <c r="D222" s="44" t="s">
        <v>157</v>
      </c>
      <c r="E222" s="45" t="s">
        <v>240</v>
      </c>
      <c r="F222" s="44"/>
      <c r="G222" s="44"/>
      <c r="H222" s="44"/>
      <c r="I222" s="44"/>
      <c r="J222" s="44"/>
      <c r="K222" s="44"/>
      <c r="L222" s="44"/>
    </row>
    <row r="223" spans="1:12" ht="15" customHeight="1">
      <c r="A223" s="38" t="s">
        <v>311</v>
      </c>
      <c r="B223" s="39" t="str">
        <f>IFERROR(INDEX(Dim_Proyectos!$A:$A,MATCH(A223,Dim_Proyectos!$B:$B,0)),"")</f>
        <v>P004</v>
      </c>
      <c r="C223" s="40" t="s">
        <v>133</v>
      </c>
      <c r="D223" s="40" t="s">
        <v>157</v>
      </c>
      <c r="E223" s="41" t="s">
        <v>241</v>
      </c>
      <c r="F223" s="40"/>
      <c r="G223" s="40"/>
      <c r="H223" s="40"/>
      <c r="I223" s="40"/>
      <c r="J223" s="40"/>
      <c r="K223" s="40"/>
      <c r="L223" s="40"/>
    </row>
    <row r="224" spans="1:12" ht="15" customHeight="1">
      <c r="A224" s="38" t="s">
        <v>311</v>
      </c>
      <c r="B224" s="43" t="str">
        <f>IFERROR(INDEX(Dim_Proyectos!$A:$A,MATCH(A224,Dim_Proyectos!$B:$B,0)),"")</f>
        <v>P004</v>
      </c>
      <c r="C224" s="44" t="s">
        <v>133</v>
      </c>
      <c r="D224" s="44" t="s">
        <v>157</v>
      </c>
      <c r="E224" s="45" t="s">
        <v>269</v>
      </c>
      <c r="F224" s="44"/>
      <c r="G224" s="44"/>
      <c r="H224" s="44"/>
      <c r="I224" s="44"/>
      <c r="J224" s="44"/>
      <c r="K224" s="44"/>
      <c r="L224" s="44"/>
    </row>
    <row r="225" spans="1:12" ht="15" customHeight="1">
      <c r="A225" s="38" t="s">
        <v>311</v>
      </c>
      <c r="B225" s="39" t="str">
        <f>IFERROR(INDEX(Dim_Proyectos!$A:$A,MATCH(A225,Dim_Proyectos!$B:$B,0)),"")</f>
        <v>P004</v>
      </c>
      <c r="C225" s="40" t="s">
        <v>133</v>
      </c>
      <c r="D225" s="40" t="s">
        <v>157</v>
      </c>
      <c r="E225" s="41" t="s">
        <v>270</v>
      </c>
      <c r="F225" s="40"/>
      <c r="G225" s="40"/>
      <c r="H225" s="40"/>
      <c r="I225" s="40"/>
      <c r="J225" s="40"/>
      <c r="K225" s="40"/>
      <c r="L225" s="40"/>
    </row>
    <row r="226" spans="1:12" ht="15" customHeight="1">
      <c r="A226" s="38" t="s">
        <v>311</v>
      </c>
      <c r="B226" s="43" t="str">
        <f>IFERROR(INDEX(Dim_Proyectos!$A:$A,MATCH(A226,Dim_Proyectos!$B:$B,0)),"")</f>
        <v>P004</v>
      </c>
      <c r="C226" s="44" t="s">
        <v>133</v>
      </c>
      <c r="D226" s="44" t="s">
        <v>157</v>
      </c>
      <c r="E226" s="45" t="s">
        <v>243</v>
      </c>
      <c r="F226" s="44"/>
      <c r="G226" s="44"/>
      <c r="H226" s="44"/>
      <c r="I226" s="44"/>
      <c r="J226" s="44"/>
      <c r="K226" s="44"/>
      <c r="L226" s="44"/>
    </row>
    <row r="227" spans="1:12" ht="15" customHeight="1">
      <c r="A227" s="38" t="s">
        <v>311</v>
      </c>
      <c r="B227" s="39" t="str">
        <f>IFERROR(INDEX(Dim_Proyectos!$A:$A,MATCH(A227,Dim_Proyectos!$B:$B,0)),"")</f>
        <v>P004</v>
      </c>
      <c r="C227" s="40" t="s">
        <v>133</v>
      </c>
      <c r="D227" s="40" t="s">
        <v>157</v>
      </c>
      <c r="E227" s="41" t="s">
        <v>244</v>
      </c>
      <c r="F227" s="40"/>
      <c r="G227" s="40"/>
      <c r="H227" s="40"/>
      <c r="I227" s="40"/>
      <c r="J227" s="40"/>
      <c r="K227" s="40"/>
      <c r="L227" s="40"/>
    </row>
    <row r="228" spans="1:12" ht="15" customHeight="1">
      <c r="A228" s="38" t="s">
        <v>311</v>
      </c>
      <c r="B228" s="43" t="str">
        <f>IFERROR(INDEX(Dim_Proyectos!$A:$A,MATCH(A228,Dim_Proyectos!$B:$B,0)),"")</f>
        <v>P004</v>
      </c>
      <c r="C228" s="44" t="s">
        <v>133</v>
      </c>
      <c r="D228" s="44" t="s">
        <v>157</v>
      </c>
      <c r="E228" s="45" t="s">
        <v>245</v>
      </c>
      <c r="F228" s="44"/>
      <c r="G228" s="44"/>
      <c r="H228" s="44"/>
      <c r="I228" s="44"/>
      <c r="J228" s="44"/>
      <c r="K228" s="44"/>
      <c r="L228" s="44"/>
    </row>
    <row r="229" spans="1:12" ht="15" customHeight="1">
      <c r="A229" s="38" t="s">
        <v>311</v>
      </c>
      <c r="B229" s="39" t="str">
        <f>IFERROR(INDEX(Dim_Proyectos!$A:$A,MATCH(A229,Dim_Proyectos!$B:$B,0)),"")</f>
        <v>P004</v>
      </c>
      <c r="C229" s="40" t="s">
        <v>133</v>
      </c>
      <c r="D229" s="40" t="s">
        <v>157</v>
      </c>
      <c r="E229" s="41" t="s">
        <v>271</v>
      </c>
      <c r="F229" s="40"/>
      <c r="G229" s="40"/>
      <c r="H229" s="40"/>
      <c r="I229" s="40"/>
      <c r="J229" s="40"/>
      <c r="K229" s="40"/>
      <c r="L229" s="40"/>
    </row>
    <row r="230" spans="1:12" ht="15" customHeight="1">
      <c r="A230" s="38" t="s">
        <v>311</v>
      </c>
      <c r="B230" s="43" t="str">
        <f>IFERROR(INDEX(Dim_Proyectos!$A:$A,MATCH(A230,Dim_Proyectos!$B:$B,0)),"")</f>
        <v>P004</v>
      </c>
      <c r="C230" s="44" t="s">
        <v>133</v>
      </c>
      <c r="D230" s="44" t="s">
        <v>157</v>
      </c>
      <c r="E230" s="45" t="s">
        <v>176</v>
      </c>
      <c r="F230" s="44"/>
      <c r="G230" s="44"/>
      <c r="H230" s="44"/>
      <c r="I230" s="44"/>
      <c r="J230" s="44"/>
      <c r="K230" s="44"/>
      <c r="L230" s="44"/>
    </row>
    <row r="231" spans="1:12" ht="15" customHeight="1">
      <c r="A231" s="38" t="s">
        <v>311</v>
      </c>
      <c r="B231" s="39" t="str">
        <f>IFERROR(INDEX(Dim_Proyectos!$A:$A,MATCH(A231,Dim_Proyectos!$B:$B,0)),"")</f>
        <v>P004</v>
      </c>
      <c r="C231" s="40" t="s">
        <v>133</v>
      </c>
      <c r="D231" s="40" t="s">
        <v>157</v>
      </c>
      <c r="E231" s="41" t="s">
        <v>272</v>
      </c>
      <c r="F231" s="40"/>
      <c r="G231" s="40"/>
      <c r="H231" s="40"/>
      <c r="I231" s="40"/>
      <c r="J231" s="40"/>
      <c r="K231" s="40"/>
      <c r="L231" s="40"/>
    </row>
    <row r="232" spans="1:12" ht="15" customHeight="1">
      <c r="A232" s="38" t="s">
        <v>311</v>
      </c>
      <c r="B232" s="43" t="str">
        <f>IFERROR(INDEX(Dim_Proyectos!$A:$A,MATCH(A232,Dim_Proyectos!$B:$B,0)),"")</f>
        <v>P004</v>
      </c>
      <c r="C232" s="44" t="s">
        <v>133</v>
      </c>
      <c r="D232" s="44" t="s">
        <v>157</v>
      </c>
      <c r="E232" s="45" t="s">
        <v>273</v>
      </c>
      <c r="F232" s="44"/>
      <c r="G232" s="44"/>
      <c r="H232" s="44"/>
      <c r="I232" s="44"/>
      <c r="J232" s="44"/>
      <c r="K232" s="44"/>
      <c r="L232" s="44"/>
    </row>
    <row r="233" spans="1:12" ht="15" customHeight="1">
      <c r="A233" s="38" t="s">
        <v>311</v>
      </c>
      <c r="B233" s="39" t="str">
        <f>IFERROR(INDEX(Dim_Proyectos!$A:$A,MATCH(A233,Dim_Proyectos!$B:$B,0)),"")</f>
        <v>P004</v>
      </c>
      <c r="C233" s="40" t="s">
        <v>133</v>
      </c>
      <c r="D233" s="40" t="s">
        <v>157</v>
      </c>
      <c r="E233" s="41" t="s">
        <v>274</v>
      </c>
      <c r="F233" s="40"/>
      <c r="G233" s="40"/>
      <c r="H233" s="40"/>
      <c r="I233" s="40"/>
      <c r="J233" s="40"/>
      <c r="K233" s="40"/>
      <c r="L233" s="40"/>
    </row>
    <row r="234" spans="1:12" ht="15" customHeight="1">
      <c r="A234" s="38" t="s">
        <v>311</v>
      </c>
      <c r="B234" s="43" t="str">
        <f>IFERROR(INDEX(Dim_Proyectos!$A:$A,MATCH(A234,Dim_Proyectos!$B:$B,0)),"")</f>
        <v>P004</v>
      </c>
      <c r="C234" s="44" t="s">
        <v>133</v>
      </c>
      <c r="D234" s="44" t="s">
        <v>187</v>
      </c>
      <c r="E234" s="45" t="s">
        <v>275</v>
      </c>
      <c r="F234" s="44"/>
      <c r="G234" s="44"/>
      <c r="H234" s="44"/>
      <c r="I234" s="44"/>
      <c r="J234" s="44"/>
      <c r="K234" s="44"/>
      <c r="L234" s="44"/>
    </row>
    <row r="235" spans="1:12" ht="15" customHeight="1">
      <c r="A235" s="38" t="s">
        <v>311</v>
      </c>
      <c r="B235" s="39" t="str">
        <f>IFERROR(INDEX(Dim_Proyectos!$A:$A,MATCH(A235,Dim_Proyectos!$B:$B,0)),"")</f>
        <v>P004</v>
      </c>
      <c r="C235" s="40" t="s">
        <v>133</v>
      </c>
      <c r="D235" s="40" t="s">
        <v>187</v>
      </c>
      <c r="E235" s="41" t="s">
        <v>276</v>
      </c>
      <c r="F235" s="40"/>
      <c r="G235" s="40"/>
      <c r="H235" s="40"/>
      <c r="I235" s="40"/>
      <c r="J235" s="40"/>
      <c r="K235" s="40"/>
      <c r="L235" s="40"/>
    </row>
    <row r="236" spans="1:12" ht="15" customHeight="1">
      <c r="A236" s="38" t="s">
        <v>311</v>
      </c>
      <c r="B236" s="43" t="str">
        <f>IFERROR(INDEX(Dim_Proyectos!$A:$A,MATCH(A236,Dim_Proyectos!$B:$B,0)),"")</f>
        <v>P004</v>
      </c>
      <c r="C236" s="44" t="s">
        <v>133</v>
      </c>
      <c r="D236" s="44" t="s">
        <v>187</v>
      </c>
      <c r="E236" s="45" t="s">
        <v>277</v>
      </c>
      <c r="F236" s="44"/>
      <c r="G236" s="44"/>
      <c r="H236" s="44"/>
      <c r="I236" s="44"/>
      <c r="J236" s="44"/>
      <c r="K236" s="44"/>
      <c r="L236" s="44"/>
    </row>
    <row r="237" spans="1:12" ht="15" customHeight="1">
      <c r="A237" s="38" t="s">
        <v>311</v>
      </c>
      <c r="B237" s="39" t="str">
        <f>IFERROR(INDEX(Dim_Proyectos!$A:$A,MATCH(A237,Dim_Proyectos!$B:$B,0)),"")</f>
        <v>P004</v>
      </c>
      <c r="C237" s="40" t="s">
        <v>133</v>
      </c>
      <c r="D237" s="40" t="s">
        <v>187</v>
      </c>
      <c r="E237" s="41" t="s">
        <v>278</v>
      </c>
      <c r="F237" s="40"/>
      <c r="G237" s="40"/>
      <c r="H237" s="40"/>
      <c r="I237" s="40"/>
      <c r="J237" s="40"/>
      <c r="K237" s="40"/>
      <c r="L237" s="40"/>
    </row>
    <row r="238" spans="1:12" ht="15" customHeight="1">
      <c r="A238" s="38" t="s">
        <v>311</v>
      </c>
      <c r="B238" s="43" t="str">
        <f>IFERROR(INDEX(Dim_Proyectos!$A:$A,MATCH(A238,Dim_Proyectos!$B:$B,0)),"")</f>
        <v>P004</v>
      </c>
      <c r="C238" s="44" t="s">
        <v>133</v>
      </c>
      <c r="D238" s="44" t="s">
        <v>187</v>
      </c>
      <c r="E238" s="45" t="s">
        <v>279</v>
      </c>
      <c r="F238" s="44"/>
      <c r="G238" s="44"/>
      <c r="H238" s="44"/>
      <c r="I238" s="44"/>
      <c r="J238" s="44"/>
      <c r="K238" s="44"/>
      <c r="L238" s="44"/>
    </row>
    <row r="239" spans="1:12" ht="20.25" customHeight="1">
      <c r="A239" s="38" t="s">
        <v>311</v>
      </c>
      <c r="B239" s="39" t="str">
        <f>IFERROR(INDEX(Dim_Proyectos!$A:$A,MATCH(A239,Dim_Proyectos!$B:$B,0)),"")</f>
        <v>P004</v>
      </c>
      <c r="C239" s="40" t="s">
        <v>133</v>
      </c>
      <c r="D239" s="40" t="s">
        <v>187</v>
      </c>
      <c r="E239" s="41" t="s">
        <v>280</v>
      </c>
      <c r="F239" s="40"/>
      <c r="G239" s="40"/>
      <c r="H239" s="40"/>
      <c r="I239" s="40"/>
      <c r="J239" s="40"/>
      <c r="K239" s="40"/>
      <c r="L239" s="40"/>
    </row>
    <row r="240" spans="1:12" ht="15" customHeight="1">
      <c r="A240" s="38" t="s">
        <v>311</v>
      </c>
      <c r="B240" s="43" t="str">
        <f>IFERROR(INDEX(Dim_Proyectos!$A:$A,MATCH(A240,Dim_Proyectos!$B:$B,0)),"")</f>
        <v>P004</v>
      </c>
      <c r="C240" s="44" t="s">
        <v>133</v>
      </c>
      <c r="D240" s="44" t="s">
        <v>187</v>
      </c>
      <c r="E240" s="45" t="s">
        <v>250</v>
      </c>
      <c r="F240" s="44"/>
      <c r="G240" s="44"/>
      <c r="H240" s="44"/>
      <c r="I240" s="44"/>
      <c r="J240" s="44"/>
      <c r="K240" s="44"/>
      <c r="L240" s="44"/>
    </row>
    <row r="241" spans="1:12" ht="15" customHeight="1">
      <c r="A241" s="38" t="s">
        <v>311</v>
      </c>
      <c r="B241" s="39" t="str">
        <f>IFERROR(INDEX(Dim_Proyectos!$A:$A,MATCH(A241,Dim_Proyectos!$B:$B,0)),"")</f>
        <v>P004</v>
      </c>
      <c r="C241" s="40" t="s">
        <v>133</v>
      </c>
      <c r="D241" s="40" t="s">
        <v>187</v>
      </c>
      <c r="E241" s="41" t="s">
        <v>281</v>
      </c>
      <c r="F241" s="40"/>
      <c r="G241" s="40"/>
      <c r="H241" s="40"/>
      <c r="I241" s="40"/>
      <c r="J241" s="40"/>
      <c r="K241" s="40"/>
      <c r="L241" s="40"/>
    </row>
    <row r="242" spans="1:12" ht="20.25" customHeight="1">
      <c r="A242" s="38" t="s">
        <v>311</v>
      </c>
      <c r="B242" s="43" t="str">
        <f>IFERROR(INDEX(Dim_Proyectos!$A:$A,MATCH(A242,Dim_Proyectos!$B:$B,0)),"")</f>
        <v>P004</v>
      </c>
      <c r="C242" s="44" t="s">
        <v>133</v>
      </c>
      <c r="D242" s="44" t="s">
        <v>187</v>
      </c>
      <c r="E242" s="45" t="s">
        <v>282</v>
      </c>
      <c r="F242" s="44"/>
      <c r="G242" s="44"/>
      <c r="H242" s="44"/>
      <c r="I242" s="44"/>
      <c r="J242" s="44"/>
      <c r="K242" s="44"/>
      <c r="L242" s="44"/>
    </row>
    <row r="243" spans="1:12" ht="15" customHeight="1">
      <c r="A243" s="38" t="s">
        <v>311</v>
      </c>
      <c r="B243" s="39" t="str">
        <f>IFERROR(INDEX(Dim_Proyectos!$A:$A,MATCH(A243,Dim_Proyectos!$B:$B,0)),"")</f>
        <v>P004</v>
      </c>
      <c r="C243" s="40" t="s">
        <v>133</v>
      </c>
      <c r="D243" s="40" t="s">
        <v>192</v>
      </c>
      <c r="E243" s="41" t="s">
        <v>283</v>
      </c>
      <c r="F243" s="40"/>
      <c r="G243" s="40"/>
      <c r="H243" s="40"/>
      <c r="I243" s="40"/>
      <c r="J243" s="40"/>
      <c r="K243" s="40"/>
      <c r="L243" s="40"/>
    </row>
    <row r="244" spans="1:12" ht="15" customHeight="1">
      <c r="A244" s="38" t="s">
        <v>311</v>
      </c>
      <c r="B244" s="43" t="str">
        <f>IFERROR(INDEX(Dim_Proyectos!$A:$A,MATCH(A244,Dim_Proyectos!$B:$B,0)),"")</f>
        <v>P004</v>
      </c>
      <c r="C244" s="44" t="s">
        <v>133</v>
      </c>
      <c r="D244" s="44" t="s">
        <v>192</v>
      </c>
      <c r="E244" s="45" t="s">
        <v>284</v>
      </c>
      <c r="F244" s="44"/>
      <c r="G244" s="44"/>
      <c r="H244" s="44"/>
      <c r="I244" s="44"/>
      <c r="J244" s="44"/>
      <c r="K244" s="44"/>
      <c r="L244" s="44"/>
    </row>
    <row r="245" spans="1:12" ht="15" customHeight="1">
      <c r="A245" s="38" t="s">
        <v>311</v>
      </c>
      <c r="B245" s="39" t="str">
        <f>IFERROR(INDEX(Dim_Proyectos!$A:$A,MATCH(A245,Dim_Proyectos!$B:$B,0)),"")</f>
        <v>P004</v>
      </c>
      <c r="C245" s="40" t="s">
        <v>133</v>
      </c>
      <c r="D245" s="40" t="s">
        <v>192</v>
      </c>
      <c r="E245" s="41" t="s">
        <v>285</v>
      </c>
      <c r="F245" s="40"/>
      <c r="G245" s="40"/>
      <c r="H245" s="40"/>
      <c r="I245" s="40"/>
      <c r="J245" s="40"/>
      <c r="K245" s="40"/>
      <c r="L245" s="40"/>
    </row>
    <row r="246" spans="1:12" ht="15" customHeight="1">
      <c r="A246" s="38" t="s">
        <v>311</v>
      </c>
      <c r="B246" s="43" t="str">
        <f>IFERROR(INDEX(Dim_Proyectos!$A:$A,MATCH(A246,Dim_Proyectos!$B:$B,0)),"")</f>
        <v>P004</v>
      </c>
      <c r="C246" s="44" t="s">
        <v>133</v>
      </c>
      <c r="D246" s="44" t="s">
        <v>192</v>
      </c>
      <c r="E246" s="45" t="s">
        <v>286</v>
      </c>
      <c r="F246" s="44"/>
      <c r="G246" s="44"/>
      <c r="H246" s="44"/>
      <c r="I246" s="44"/>
      <c r="J246" s="44"/>
      <c r="K246" s="44"/>
      <c r="L246" s="44"/>
    </row>
    <row r="247" spans="1:12" ht="15" customHeight="1">
      <c r="A247" s="38" t="s">
        <v>311</v>
      </c>
      <c r="B247" s="39" t="str">
        <f>IFERROR(INDEX(Dim_Proyectos!$A:$A,MATCH(A247,Dim_Proyectos!$B:$B,0)),"")</f>
        <v>P004</v>
      </c>
      <c r="C247" s="40" t="s">
        <v>133</v>
      </c>
      <c r="D247" s="40" t="s">
        <v>200</v>
      </c>
      <c r="E247" s="41" t="s">
        <v>287</v>
      </c>
      <c r="F247" s="40"/>
      <c r="G247" s="40"/>
      <c r="H247" s="40"/>
      <c r="I247" s="40"/>
      <c r="J247" s="40"/>
      <c r="K247" s="40"/>
      <c r="L247" s="40"/>
    </row>
    <row r="248" spans="1:12" ht="15" customHeight="1">
      <c r="A248" s="38" t="s">
        <v>311</v>
      </c>
      <c r="B248" s="43" t="str">
        <f>IFERROR(INDEX(Dim_Proyectos!$A:$A,MATCH(A248,Dim_Proyectos!$B:$B,0)),"")</f>
        <v>P004</v>
      </c>
      <c r="C248" s="44" t="s">
        <v>133</v>
      </c>
      <c r="D248" s="44" t="s">
        <v>200</v>
      </c>
      <c r="E248" s="45" t="s">
        <v>288</v>
      </c>
      <c r="F248" s="44"/>
      <c r="G248" s="44"/>
      <c r="H248" s="44"/>
      <c r="I248" s="44"/>
      <c r="J248" s="44"/>
      <c r="K248" s="44"/>
      <c r="L248" s="44"/>
    </row>
    <row r="249" spans="1:12" ht="20.25" customHeight="1">
      <c r="A249" s="38" t="s">
        <v>311</v>
      </c>
      <c r="B249" s="39" t="str">
        <f>IFERROR(INDEX(Dim_Proyectos!$A:$A,MATCH(A249,Dim_Proyectos!$B:$B,0)),"")</f>
        <v>P004</v>
      </c>
      <c r="C249" s="40" t="s">
        <v>133</v>
      </c>
      <c r="D249" s="40" t="s">
        <v>200</v>
      </c>
      <c r="E249" s="41" t="s">
        <v>289</v>
      </c>
      <c r="F249" s="40"/>
      <c r="G249" s="40"/>
      <c r="H249" s="40"/>
      <c r="I249" s="40"/>
      <c r="J249" s="40"/>
      <c r="K249" s="40"/>
      <c r="L249" s="40"/>
    </row>
    <row r="250" spans="1:12" ht="15" customHeight="1">
      <c r="A250" s="38" t="s">
        <v>311</v>
      </c>
      <c r="B250" s="43" t="str">
        <f>IFERROR(INDEX(Dim_Proyectos!$A:$A,MATCH(A250,Dim_Proyectos!$B:$B,0)),"")</f>
        <v>P004</v>
      </c>
      <c r="C250" s="44" t="s">
        <v>133</v>
      </c>
      <c r="D250" s="44" t="s">
        <v>202</v>
      </c>
      <c r="E250" s="45" t="s">
        <v>290</v>
      </c>
      <c r="F250" s="44"/>
      <c r="G250" s="44"/>
      <c r="H250" s="44"/>
      <c r="I250" s="44"/>
      <c r="J250" s="44"/>
      <c r="K250" s="44"/>
      <c r="L250" s="44"/>
    </row>
    <row r="251" spans="1:12" ht="20.25" customHeight="1">
      <c r="A251" s="38" t="s">
        <v>311</v>
      </c>
      <c r="B251" s="39" t="str">
        <f>IFERROR(INDEX(Dim_Proyectos!$A:$A,MATCH(A251,Dim_Proyectos!$B:$B,0)),"")</f>
        <v>P004</v>
      </c>
      <c r="C251" s="40" t="s">
        <v>133</v>
      </c>
      <c r="D251" s="40" t="s">
        <v>202</v>
      </c>
      <c r="E251" s="41" t="s">
        <v>291</v>
      </c>
      <c r="F251" s="40"/>
      <c r="G251" s="40"/>
      <c r="H251" s="40"/>
      <c r="I251" s="40"/>
      <c r="J251" s="40"/>
      <c r="K251" s="40"/>
      <c r="L251" s="40"/>
    </row>
    <row r="252" spans="1:12" ht="15" customHeight="1">
      <c r="A252" s="38" t="s">
        <v>311</v>
      </c>
      <c r="B252" s="43" t="str">
        <f>IFERROR(INDEX(Dim_Proyectos!$A:$A,MATCH(A252,Dim_Proyectos!$B:$B,0)),"")</f>
        <v>P004</v>
      </c>
      <c r="C252" s="44" t="s">
        <v>133</v>
      </c>
      <c r="D252" s="44" t="s">
        <v>204</v>
      </c>
      <c r="E252" s="45" t="s">
        <v>292</v>
      </c>
      <c r="F252" s="44"/>
      <c r="G252" s="44"/>
      <c r="H252" s="44"/>
      <c r="I252" s="44"/>
      <c r="J252" s="44"/>
      <c r="K252" s="44"/>
      <c r="L252" s="44"/>
    </row>
    <row r="253" spans="1:12" ht="15" customHeight="1">
      <c r="A253" s="38" t="s">
        <v>311</v>
      </c>
      <c r="B253" s="39" t="str">
        <f>IFERROR(INDEX(Dim_Proyectos!$A:$A,MATCH(A253,Dim_Proyectos!$B:$B,0)),"")</f>
        <v>P004</v>
      </c>
      <c r="C253" s="40" t="s">
        <v>133</v>
      </c>
      <c r="D253" s="40" t="s">
        <v>204</v>
      </c>
      <c r="E253" s="41" t="s">
        <v>293</v>
      </c>
      <c r="F253" s="40"/>
      <c r="G253" s="40"/>
      <c r="H253" s="40"/>
      <c r="I253" s="40"/>
      <c r="J253" s="40"/>
      <c r="K253" s="40"/>
      <c r="L253" s="40"/>
    </row>
    <row r="254" spans="1:12" ht="15" customHeight="1">
      <c r="A254" s="38" t="s">
        <v>311</v>
      </c>
      <c r="B254" s="43" t="str">
        <f>IFERROR(INDEX(Dim_Proyectos!$A:$A,MATCH(A254,Dim_Proyectos!$B:$B,0)),"")</f>
        <v>P004</v>
      </c>
      <c r="C254" s="44" t="s">
        <v>133</v>
      </c>
      <c r="D254" s="44" t="s">
        <v>206</v>
      </c>
      <c r="E254" s="45" t="s">
        <v>294</v>
      </c>
      <c r="F254" s="44"/>
      <c r="G254" s="44"/>
      <c r="H254" s="44"/>
      <c r="I254" s="44"/>
      <c r="J254" s="44"/>
      <c r="K254" s="44"/>
      <c r="L254" s="44"/>
    </row>
    <row r="255" spans="1:12" ht="15" customHeight="1">
      <c r="A255" s="38" t="s">
        <v>311</v>
      </c>
      <c r="B255" s="39" t="str">
        <f>IFERROR(INDEX(Dim_Proyectos!$A:$A,MATCH(A255,Dim_Proyectos!$B:$B,0)),"")</f>
        <v>P004</v>
      </c>
      <c r="C255" s="40" t="s">
        <v>133</v>
      </c>
      <c r="D255" s="40" t="s">
        <v>206</v>
      </c>
      <c r="E255" s="41" t="s">
        <v>210</v>
      </c>
      <c r="F255" s="40"/>
      <c r="G255" s="40"/>
      <c r="H255" s="40"/>
      <c r="I255" s="40"/>
      <c r="J255" s="40"/>
      <c r="K255" s="40"/>
      <c r="L255" s="40"/>
    </row>
    <row r="256" spans="1:12" ht="15" customHeight="1">
      <c r="A256" s="38" t="s">
        <v>311</v>
      </c>
      <c r="B256" s="43" t="str">
        <f>IFERROR(INDEX(Dim_Proyectos!$A:$A,MATCH(A256,Dim_Proyectos!$B:$B,0)),"")</f>
        <v>P004</v>
      </c>
      <c r="C256" s="44" t="s">
        <v>133</v>
      </c>
      <c r="D256" s="44" t="s">
        <v>206</v>
      </c>
      <c r="E256" s="45" t="s">
        <v>295</v>
      </c>
      <c r="F256" s="44"/>
      <c r="G256" s="44"/>
      <c r="H256" s="44"/>
      <c r="I256" s="44"/>
      <c r="J256" s="44"/>
      <c r="K256" s="44"/>
      <c r="L256" s="44"/>
    </row>
    <row r="257" spans="1:12" ht="15" customHeight="1">
      <c r="A257" s="38" t="s">
        <v>311</v>
      </c>
      <c r="B257" s="39" t="str">
        <f>IFERROR(INDEX(Dim_Proyectos!$A:$A,MATCH(A257,Dim_Proyectos!$B:$B,0)),"")</f>
        <v>P004</v>
      </c>
      <c r="C257" s="40" t="s">
        <v>133</v>
      </c>
      <c r="D257" s="40" t="s">
        <v>206</v>
      </c>
      <c r="E257" s="41" t="s">
        <v>296</v>
      </c>
      <c r="F257" s="40"/>
      <c r="G257" s="40"/>
      <c r="H257" s="40"/>
      <c r="I257" s="40"/>
      <c r="J257" s="40"/>
      <c r="K257" s="40"/>
      <c r="L257" s="40"/>
    </row>
    <row r="258" spans="1:12" ht="20.25" customHeight="1">
      <c r="A258" s="38" t="s">
        <v>311</v>
      </c>
      <c r="B258" s="43" t="str">
        <f>IFERROR(INDEX(Dim_Proyectos!$A:$A,MATCH(A258,Dim_Proyectos!$B:$B,0)),"")</f>
        <v>P004</v>
      </c>
      <c r="C258" s="44" t="s">
        <v>133</v>
      </c>
      <c r="D258" s="44" t="s">
        <v>206</v>
      </c>
      <c r="E258" s="45" t="s">
        <v>297</v>
      </c>
      <c r="F258" s="44"/>
      <c r="G258" s="44"/>
      <c r="H258" s="44"/>
      <c r="I258" s="44"/>
      <c r="J258" s="44"/>
      <c r="K258" s="44"/>
      <c r="L258" s="44"/>
    </row>
    <row r="259" spans="1:12" ht="15" customHeight="1">
      <c r="A259" s="38" t="s">
        <v>311</v>
      </c>
      <c r="B259" s="39" t="str">
        <f>IFERROR(INDEX(Dim_Proyectos!$A:$A,MATCH(A259,Dim_Proyectos!$B:$B,0)),"")</f>
        <v>P004</v>
      </c>
      <c r="C259" s="40" t="s">
        <v>133</v>
      </c>
      <c r="D259" s="40" t="s">
        <v>206</v>
      </c>
      <c r="E259" s="41" t="s">
        <v>298</v>
      </c>
      <c r="F259" s="40"/>
      <c r="G259" s="40"/>
      <c r="H259" s="40"/>
      <c r="I259" s="40"/>
      <c r="J259" s="40"/>
      <c r="K259" s="40"/>
      <c r="L259" s="40"/>
    </row>
    <row r="260" spans="1:12" ht="15" customHeight="1">
      <c r="A260" s="38" t="s">
        <v>311</v>
      </c>
      <c r="B260" s="43" t="str">
        <f>IFERROR(INDEX(Dim_Proyectos!$A:$A,MATCH(A260,Dim_Proyectos!$B:$B,0)),"")</f>
        <v>P004</v>
      </c>
      <c r="C260" s="44" t="s">
        <v>133</v>
      </c>
      <c r="D260" s="44" t="s">
        <v>206</v>
      </c>
      <c r="E260" s="45" t="s">
        <v>260</v>
      </c>
      <c r="F260" s="44"/>
      <c r="G260" s="44"/>
      <c r="H260" s="44"/>
      <c r="I260" s="44"/>
      <c r="J260" s="44"/>
      <c r="K260" s="44"/>
      <c r="L260" s="44"/>
    </row>
    <row r="261" spans="1:12" ht="15" customHeight="1">
      <c r="A261" s="38" t="s">
        <v>311</v>
      </c>
      <c r="B261" s="39" t="str">
        <f>IFERROR(INDEX(Dim_Proyectos!$A:$A,MATCH(A261,Dim_Proyectos!$B:$B,0)),"")</f>
        <v>P004</v>
      </c>
      <c r="C261" s="40" t="s">
        <v>133</v>
      </c>
      <c r="D261" s="40" t="s">
        <v>206</v>
      </c>
      <c r="E261" s="41" t="s">
        <v>262</v>
      </c>
      <c r="F261" s="40"/>
      <c r="G261" s="40"/>
      <c r="H261" s="40"/>
      <c r="I261" s="40"/>
      <c r="J261" s="40"/>
      <c r="K261" s="40"/>
      <c r="L261" s="40"/>
    </row>
    <row r="262" spans="1:12" ht="15" customHeight="1">
      <c r="A262" s="38" t="s">
        <v>311</v>
      </c>
      <c r="B262" s="43" t="str">
        <f>IFERROR(INDEX(Dim_Proyectos!$A:$A,MATCH(A262,Dim_Proyectos!$B:$B,0)),"")</f>
        <v>P004</v>
      </c>
      <c r="C262" s="44" t="s">
        <v>133</v>
      </c>
      <c r="D262" s="44" t="s">
        <v>206</v>
      </c>
      <c r="E262" s="45" t="s">
        <v>299</v>
      </c>
      <c r="F262" s="44"/>
      <c r="G262" s="44"/>
      <c r="H262" s="44"/>
      <c r="I262" s="44"/>
      <c r="J262" s="44"/>
      <c r="K262" s="44"/>
      <c r="L262" s="44"/>
    </row>
    <row r="263" spans="1:12" ht="15" customHeight="1">
      <c r="A263" s="38" t="s">
        <v>311</v>
      </c>
      <c r="B263" s="39" t="str">
        <f>IFERROR(INDEX(Dim_Proyectos!$A:$A,MATCH(A263,Dim_Proyectos!$B:$B,0)),"")</f>
        <v>P004</v>
      </c>
      <c r="C263" s="40" t="s">
        <v>133</v>
      </c>
      <c r="D263" s="40" t="s">
        <v>206</v>
      </c>
      <c r="E263" s="41" t="s">
        <v>300</v>
      </c>
      <c r="F263" s="40"/>
      <c r="G263" s="40"/>
      <c r="H263" s="40"/>
      <c r="I263" s="40"/>
      <c r="J263" s="40"/>
      <c r="K263" s="40"/>
      <c r="L263" s="40"/>
    </row>
    <row r="264" spans="1:12" ht="15" customHeight="1">
      <c r="A264" s="38" t="s">
        <v>311</v>
      </c>
      <c r="B264" s="43" t="str">
        <f>IFERROR(INDEX(Dim_Proyectos!$A:$A,MATCH(A264,Dim_Proyectos!$B:$B,0)),"")</f>
        <v>P004</v>
      </c>
      <c r="C264" s="44" t="s">
        <v>133</v>
      </c>
      <c r="D264" s="44" t="s">
        <v>206</v>
      </c>
      <c r="E264" s="45" t="s">
        <v>301</v>
      </c>
      <c r="F264" s="44"/>
      <c r="G264" s="44"/>
      <c r="H264" s="44"/>
      <c r="I264" s="44"/>
      <c r="J264" s="44"/>
      <c r="K264" s="44"/>
      <c r="L264" s="44"/>
    </row>
    <row r="265" spans="1:12" ht="15" customHeight="1">
      <c r="A265" s="38" t="s">
        <v>311</v>
      </c>
      <c r="B265" s="39" t="str">
        <f>IFERROR(INDEX(Dim_Proyectos!$A:$A,MATCH(A265,Dim_Proyectos!$B:$B,0)),"")</f>
        <v>P004</v>
      </c>
      <c r="C265" s="40" t="s">
        <v>133</v>
      </c>
      <c r="D265" s="40" t="s">
        <v>206</v>
      </c>
      <c r="E265" s="41" t="s">
        <v>302</v>
      </c>
      <c r="F265" s="40"/>
      <c r="G265" s="40"/>
      <c r="H265" s="40"/>
      <c r="I265" s="40"/>
      <c r="J265" s="40"/>
      <c r="K265" s="40"/>
      <c r="L265" s="40"/>
    </row>
    <row r="266" spans="1:12" ht="15" customHeight="1">
      <c r="A266" s="38" t="s">
        <v>311</v>
      </c>
      <c r="B266" s="43" t="str">
        <f>IFERROR(INDEX(Dim_Proyectos!$A:$A,MATCH(A266,Dim_Proyectos!$B:$B,0)),"")</f>
        <v>P004</v>
      </c>
      <c r="C266" s="44" t="s">
        <v>133</v>
      </c>
      <c r="D266" s="44" t="s">
        <v>206</v>
      </c>
      <c r="E266" s="45" t="s">
        <v>303</v>
      </c>
      <c r="F266" s="44"/>
      <c r="G266" s="44"/>
      <c r="H266" s="44"/>
      <c r="I266" s="44"/>
      <c r="J266" s="44"/>
      <c r="K266" s="44"/>
      <c r="L266" s="44"/>
    </row>
    <row r="267" spans="1:12" ht="15" customHeight="1">
      <c r="A267" s="38" t="s">
        <v>311</v>
      </c>
      <c r="B267" s="39" t="str">
        <f>IFERROR(INDEX(Dim_Proyectos!$A:$A,MATCH(A267,Dim_Proyectos!$B:$B,0)),"")</f>
        <v>P004</v>
      </c>
      <c r="C267" s="40" t="s">
        <v>133</v>
      </c>
      <c r="D267" s="40" t="s">
        <v>206</v>
      </c>
      <c r="E267" s="41" t="s">
        <v>304</v>
      </c>
      <c r="F267" s="40"/>
      <c r="G267" s="40"/>
      <c r="H267" s="40"/>
      <c r="I267" s="40"/>
      <c r="J267" s="40"/>
      <c r="K267" s="40"/>
      <c r="L267" s="40"/>
    </row>
    <row r="268" spans="1:12" ht="15" customHeight="1">
      <c r="A268" s="38" t="s">
        <v>311</v>
      </c>
      <c r="B268" s="43" t="str">
        <f>IFERROR(INDEX(Dim_Proyectos!$A:$A,MATCH(A268,Dim_Proyectos!$B:$B,0)),"")</f>
        <v>P004</v>
      </c>
      <c r="C268" s="44" t="s">
        <v>133</v>
      </c>
      <c r="D268" s="44" t="s">
        <v>206</v>
      </c>
      <c r="E268" s="45" t="s">
        <v>305</v>
      </c>
      <c r="F268" s="44"/>
      <c r="G268" s="44"/>
      <c r="H268" s="44"/>
      <c r="I268" s="44"/>
      <c r="J268" s="44"/>
      <c r="K268" s="44"/>
      <c r="L268" s="44"/>
    </row>
    <row r="269" spans="1:12" ht="15" customHeight="1">
      <c r="A269" s="38" t="s">
        <v>311</v>
      </c>
      <c r="B269" s="39" t="str">
        <f>IFERROR(INDEX(Dim_Proyectos!$A:$A,MATCH(A269,Dim_Proyectos!$B:$B,0)),"")</f>
        <v>P004</v>
      </c>
      <c r="C269" s="40" t="s">
        <v>133</v>
      </c>
      <c r="D269" s="40" t="s">
        <v>206</v>
      </c>
      <c r="E269" s="41" t="s">
        <v>306</v>
      </c>
      <c r="F269" s="40"/>
      <c r="G269" s="40"/>
      <c r="H269" s="40"/>
      <c r="I269" s="40"/>
      <c r="J269" s="40"/>
      <c r="K269" s="40"/>
      <c r="L269" s="40"/>
    </row>
    <row r="270" spans="1:12" ht="15" customHeight="1">
      <c r="A270" s="38" t="s">
        <v>311</v>
      </c>
      <c r="B270" s="43" t="str">
        <f>IFERROR(INDEX(Dim_Proyectos!$A:$A,MATCH(A270,Dim_Proyectos!$B:$B,0)),"")</f>
        <v>P004</v>
      </c>
      <c r="C270" s="44" t="s">
        <v>133</v>
      </c>
      <c r="D270" s="44" t="s">
        <v>206</v>
      </c>
      <c r="E270" s="45" t="s">
        <v>307</v>
      </c>
      <c r="F270" s="44"/>
      <c r="G270" s="44"/>
      <c r="H270" s="44"/>
      <c r="I270" s="44"/>
      <c r="J270" s="44"/>
      <c r="K270" s="44"/>
      <c r="L270" s="44"/>
    </row>
    <row r="271" spans="1:12" ht="15" customHeight="1">
      <c r="A271" s="38" t="s">
        <v>311</v>
      </c>
      <c r="B271" s="39" t="str">
        <f>IFERROR(INDEX(Dim_Proyectos!$A:$A,MATCH(A271,Dim_Proyectos!$B:$B,0)),"")</f>
        <v>P004</v>
      </c>
      <c r="C271" s="40" t="s">
        <v>133</v>
      </c>
      <c r="D271" s="40" t="s">
        <v>206</v>
      </c>
      <c r="E271" s="41" t="s">
        <v>308</v>
      </c>
      <c r="F271" s="40"/>
      <c r="G271" s="40"/>
      <c r="H271" s="40"/>
      <c r="I271" s="40"/>
      <c r="J271" s="40"/>
      <c r="K271" s="40"/>
      <c r="L271" s="40"/>
    </row>
    <row r="272" spans="1:12" ht="15" customHeight="1">
      <c r="A272" s="38" t="s">
        <v>311</v>
      </c>
      <c r="B272" s="43" t="str">
        <f>IFERROR(INDEX(Dim_Proyectos!$A:$A,MATCH(A272,Dim_Proyectos!$B:$B,0)),"")</f>
        <v>P004</v>
      </c>
      <c r="C272" s="44" t="s">
        <v>133</v>
      </c>
      <c r="D272" s="44" t="s">
        <v>226</v>
      </c>
      <c r="E272" s="45" t="s">
        <v>309</v>
      </c>
      <c r="F272" s="44"/>
      <c r="G272" s="44"/>
      <c r="H272" s="44"/>
      <c r="I272" s="44"/>
      <c r="J272" s="44"/>
      <c r="K272" s="44"/>
      <c r="L272" s="44"/>
    </row>
    <row r="273" spans="1:12" ht="15" customHeight="1">
      <c r="A273" s="38" t="s">
        <v>311</v>
      </c>
      <c r="B273" s="39" t="str">
        <f>IFERROR(INDEX(Dim_Proyectos!$A:$A,MATCH(A273,Dim_Proyectos!$B:$B,0)),"")</f>
        <v>P004</v>
      </c>
      <c r="C273" s="40" t="s">
        <v>133</v>
      </c>
      <c r="D273" s="40" t="s">
        <v>226</v>
      </c>
      <c r="E273" s="41" t="s">
        <v>310</v>
      </c>
      <c r="F273" s="40"/>
      <c r="G273" s="40"/>
      <c r="H273" s="40"/>
      <c r="I273" s="40"/>
      <c r="J273" s="40"/>
      <c r="K273" s="40"/>
      <c r="L273" s="40"/>
    </row>
    <row r="274" spans="1:12" ht="15" customHeight="1">
      <c r="A274" s="38" t="s">
        <v>312</v>
      </c>
      <c r="B274" s="43" t="str">
        <f>IFERROR(INDEX(Dim_Proyectos!$A:$A,MATCH(A274,Dim_Proyectos!$B:$B,0)),"")</f>
        <v>P005</v>
      </c>
      <c r="C274" s="44" t="s">
        <v>228</v>
      </c>
      <c r="D274" s="44"/>
      <c r="E274" s="45" t="s">
        <v>228</v>
      </c>
      <c r="F274" s="44"/>
      <c r="G274" s="44"/>
      <c r="H274" s="44"/>
      <c r="I274" s="44"/>
      <c r="J274" s="44"/>
      <c r="K274" s="44"/>
      <c r="L274" s="44"/>
    </row>
    <row r="275" spans="1:12" ht="15" customHeight="1">
      <c r="A275" s="38" t="s">
        <v>312</v>
      </c>
      <c r="B275" s="39" t="str">
        <f>IFERROR(INDEX(Dim_Proyectos!$A:$A,MATCH(A275,Dim_Proyectos!$B:$B,0)),"")</f>
        <v>P005</v>
      </c>
      <c r="C275" s="40" t="s">
        <v>133</v>
      </c>
      <c r="D275" s="40" t="s">
        <v>134</v>
      </c>
      <c r="E275" s="41" t="s">
        <v>135</v>
      </c>
      <c r="F275" s="40"/>
      <c r="G275" s="40"/>
      <c r="H275" s="40"/>
      <c r="I275" s="40"/>
      <c r="J275" s="40"/>
      <c r="K275" s="40"/>
      <c r="L275" s="40"/>
    </row>
    <row r="276" spans="1:12" ht="15" customHeight="1">
      <c r="A276" s="38" t="s">
        <v>312</v>
      </c>
      <c r="B276" s="43" t="str">
        <f>IFERROR(INDEX(Dim_Proyectos!$A:$A,MATCH(A276,Dim_Proyectos!$B:$B,0)),"")</f>
        <v>P005</v>
      </c>
      <c r="C276" s="44" t="s">
        <v>133</v>
      </c>
      <c r="D276" s="44" t="s">
        <v>138</v>
      </c>
      <c r="E276" s="45" t="s">
        <v>139</v>
      </c>
      <c r="F276" s="44"/>
      <c r="G276" s="44"/>
      <c r="H276" s="44"/>
      <c r="I276" s="44"/>
      <c r="J276" s="44"/>
      <c r="K276" s="44"/>
      <c r="L276" s="44"/>
    </row>
    <row r="277" spans="1:12" ht="15" customHeight="1">
      <c r="A277" s="38" t="s">
        <v>312</v>
      </c>
      <c r="B277" s="39" t="str">
        <f>IFERROR(INDEX(Dim_Proyectos!$A:$A,MATCH(A277,Dim_Proyectos!$B:$B,0)),"")</f>
        <v>P005</v>
      </c>
      <c r="C277" s="40" t="s">
        <v>133</v>
      </c>
      <c r="D277" s="40" t="s">
        <v>140</v>
      </c>
      <c r="E277" s="41" t="s">
        <v>141</v>
      </c>
      <c r="F277" s="40"/>
      <c r="G277" s="40"/>
      <c r="H277" s="40"/>
      <c r="I277" s="40"/>
      <c r="J277" s="40"/>
      <c r="K277" s="40"/>
      <c r="L277" s="40"/>
    </row>
    <row r="278" spans="1:12" ht="20.25" customHeight="1">
      <c r="A278" s="38" t="s">
        <v>312</v>
      </c>
      <c r="B278" s="43" t="str">
        <f>IFERROR(INDEX(Dim_Proyectos!$A:$A,MATCH(A278,Dim_Proyectos!$B:$B,0)),"")</f>
        <v>P005</v>
      </c>
      <c r="C278" s="44" t="s">
        <v>133</v>
      </c>
      <c r="D278" s="44" t="s">
        <v>140</v>
      </c>
      <c r="E278" s="45" t="s">
        <v>144</v>
      </c>
      <c r="F278" s="44"/>
      <c r="G278" s="44"/>
      <c r="H278" s="44"/>
      <c r="I278" s="44"/>
      <c r="J278" s="44"/>
      <c r="K278" s="44"/>
      <c r="L278" s="44"/>
    </row>
    <row r="279" spans="1:12" ht="15" customHeight="1">
      <c r="A279" s="38" t="s">
        <v>312</v>
      </c>
      <c r="B279" s="39" t="str">
        <f>IFERROR(INDEX(Dim_Proyectos!$A:$A,MATCH(A279,Dim_Proyectos!$B:$B,0)),"")</f>
        <v>P005</v>
      </c>
      <c r="C279" s="40" t="s">
        <v>133</v>
      </c>
      <c r="D279" s="40" t="s">
        <v>140</v>
      </c>
      <c r="E279" s="41" t="s">
        <v>231</v>
      </c>
      <c r="F279" s="40"/>
      <c r="G279" s="40"/>
      <c r="H279" s="40"/>
      <c r="I279" s="40"/>
      <c r="J279" s="40"/>
      <c r="K279" s="40"/>
      <c r="L279" s="40"/>
    </row>
    <row r="280" spans="1:12" ht="15" customHeight="1">
      <c r="A280" s="38" t="s">
        <v>312</v>
      </c>
      <c r="B280" s="43" t="str">
        <f>IFERROR(INDEX(Dim_Proyectos!$A:$A,MATCH(A280,Dim_Proyectos!$B:$B,0)),"")</f>
        <v>P005</v>
      </c>
      <c r="C280" s="44" t="s">
        <v>133</v>
      </c>
      <c r="D280" s="44" t="s">
        <v>140</v>
      </c>
      <c r="E280" s="45" t="s">
        <v>232</v>
      </c>
      <c r="F280" s="44"/>
      <c r="G280" s="44"/>
      <c r="H280" s="44"/>
      <c r="I280" s="44"/>
      <c r="J280" s="44"/>
      <c r="K280" s="44"/>
      <c r="L280" s="44"/>
    </row>
    <row r="281" spans="1:12" ht="15" customHeight="1">
      <c r="A281" s="38" t="s">
        <v>312</v>
      </c>
      <c r="B281" s="39" t="str">
        <f>IFERROR(INDEX(Dim_Proyectos!$A:$A,MATCH(A281,Dim_Proyectos!$B:$B,0)),"")</f>
        <v>P005</v>
      </c>
      <c r="C281" s="40" t="s">
        <v>133</v>
      </c>
      <c r="D281" s="40" t="s">
        <v>145</v>
      </c>
      <c r="E281" s="41" t="s">
        <v>146</v>
      </c>
      <c r="F281" s="40"/>
      <c r="G281" s="40"/>
      <c r="H281" s="40"/>
      <c r="I281" s="40"/>
      <c r="J281" s="40"/>
      <c r="K281" s="40"/>
      <c r="L281" s="40"/>
    </row>
    <row r="282" spans="1:12" ht="15" customHeight="1">
      <c r="A282" s="38" t="s">
        <v>312</v>
      </c>
      <c r="B282" s="43" t="str">
        <f>IFERROR(INDEX(Dim_Proyectos!$A:$A,MATCH(A282,Dim_Proyectos!$B:$B,0)),"")</f>
        <v>P005</v>
      </c>
      <c r="C282" s="44" t="s">
        <v>133</v>
      </c>
      <c r="D282" s="44" t="s">
        <v>145</v>
      </c>
      <c r="E282" s="45" t="s">
        <v>148</v>
      </c>
      <c r="F282" s="44"/>
      <c r="G282" s="44"/>
      <c r="H282" s="44"/>
      <c r="I282" s="44"/>
      <c r="J282" s="44"/>
      <c r="K282" s="44"/>
      <c r="L282" s="44"/>
    </row>
    <row r="283" spans="1:12" ht="15" customHeight="1">
      <c r="A283" s="38" t="s">
        <v>312</v>
      </c>
      <c r="B283" s="39" t="str">
        <f>IFERROR(INDEX(Dim_Proyectos!$A:$A,MATCH(A283,Dim_Proyectos!$B:$B,0)),"")</f>
        <v>P005</v>
      </c>
      <c r="C283" s="40" t="s">
        <v>133</v>
      </c>
      <c r="D283" s="40" t="s">
        <v>150</v>
      </c>
      <c r="E283" s="41" t="s">
        <v>40</v>
      </c>
      <c r="F283" s="40"/>
      <c r="G283" s="40"/>
      <c r="H283" s="40"/>
      <c r="I283" s="40"/>
      <c r="J283" s="40"/>
      <c r="K283" s="40"/>
      <c r="L283" s="40"/>
    </row>
    <row r="284" spans="1:12" ht="15" customHeight="1">
      <c r="A284" s="38" t="s">
        <v>312</v>
      </c>
      <c r="B284" s="43" t="str">
        <f>IFERROR(INDEX(Dim_Proyectos!$A:$A,MATCH(A284,Dim_Proyectos!$B:$B,0)),"")</f>
        <v>P005</v>
      </c>
      <c r="C284" s="44" t="s">
        <v>133</v>
      </c>
      <c r="D284" s="44" t="s">
        <v>152</v>
      </c>
      <c r="E284" s="45" t="s">
        <v>233</v>
      </c>
      <c r="F284" s="44"/>
      <c r="G284" s="44"/>
      <c r="H284" s="44"/>
      <c r="I284" s="44"/>
      <c r="J284" s="44"/>
      <c r="K284" s="44"/>
      <c r="L284" s="44"/>
    </row>
    <row r="285" spans="1:12" ht="15" customHeight="1">
      <c r="A285" s="38" t="s">
        <v>312</v>
      </c>
      <c r="B285" s="39" t="str">
        <f>IFERROR(INDEX(Dim_Proyectos!$A:$A,MATCH(A285,Dim_Proyectos!$B:$B,0)),"")</f>
        <v>P005</v>
      </c>
      <c r="C285" s="40" t="s">
        <v>133</v>
      </c>
      <c r="D285" s="40" t="s">
        <v>152</v>
      </c>
      <c r="E285" s="41" t="s">
        <v>154</v>
      </c>
      <c r="F285" s="40"/>
      <c r="G285" s="40"/>
      <c r="H285" s="40"/>
      <c r="I285" s="40"/>
      <c r="J285" s="40"/>
      <c r="K285" s="40"/>
      <c r="L285" s="40"/>
    </row>
    <row r="286" spans="1:12" ht="15" customHeight="1">
      <c r="A286" s="38" t="s">
        <v>312</v>
      </c>
      <c r="B286" s="43" t="str">
        <f>IFERROR(INDEX(Dim_Proyectos!$A:$A,MATCH(A286,Dim_Proyectos!$B:$B,0)),"")</f>
        <v>P005</v>
      </c>
      <c r="C286" s="44" t="s">
        <v>133</v>
      </c>
      <c r="D286" s="44" t="s">
        <v>152</v>
      </c>
      <c r="E286" s="45" t="s">
        <v>265</v>
      </c>
      <c r="F286" s="44"/>
      <c r="G286" s="44"/>
      <c r="H286" s="44"/>
      <c r="I286" s="44"/>
      <c r="J286" s="44"/>
      <c r="K286" s="44"/>
      <c r="L286" s="44"/>
    </row>
    <row r="287" spans="1:12" ht="15" customHeight="1">
      <c r="A287" s="38" t="s">
        <v>312</v>
      </c>
      <c r="B287" s="39" t="str">
        <f>IFERROR(INDEX(Dim_Proyectos!$A:$A,MATCH(A287,Dim_Proyectos!$B:$B,0)),"")</f>
        <v>P005</v>
      </c>
      <c r="C287" s="40" t="s">
        <v>133</v>
      </c>
      <c r="D287" s="40" t="s">
        <v>152</v>
      </c>
      <c r="E287" s="41" t="s">
        <v>266</v>
      </c>
      <c r="F287" s="40"/>
      <c r="G287" s="40"/>
      <c r="H287" s="40"/>
      <c r="I287" s="40"/>
      <c r="J287" s="40"/>
      <c r="K287" s="40"/>
      <c r="L287" s="40"/>
    </row>
    <row r="288" spans="1:12" ht="15" customHeight="1">
      <c r="A288" s="38" t="s">
        <v>312</v>
      </c>
      <c r="B288" s="43" t="str">
        <f>IFERROR(INDEX(Dim_Proyectos!$A:$A,MATCH(A288,Dim_Proyectos!$B:$B,0)),"")</f>
        <v>P005</v>
      </c>
      <c r="C288" s="44" t="s">
        <v>133</v>
      </c>
      <c r="D288" s="44" t="s">
        <v>157</v>
      </c>
      <c r="E288" s="45" t="s">
        <v>234</v>
      </c>
      <c r="F288" s="44"/>
      <c r="G288" s="44"/>
      <c r="H288" s="44"/>
      <c r="I288" s="44"/>
      <c r="J288" s="44"/>
      <c r="K288" s="44"/>
      <c r="L288" s="44"/>
    </row>
    <row r="289" spans="1:12" ht="15" customHeight="1">
      <c r="A289" s="38" t="s">
        <v>312</v>
      </c>
      <c r="B289" s="39" t="str">
        <f>IFERROR(INDEX(Dim_Proyectos!$A:$A,MATCH(A289,Dim_Proyectos!$B:$B,0)),"")</f>
        <v>P005</v>
      </c>
      <c r="C289" s="40" t="s">
        <v>133</v>
      </c>
      <c r="D289" s="40" t="s">
        <v>157</v>
      </c>
      <c r="E289" s="41" t="s">
        <v>235</v>
      </c>
      <c r="F289" s="40"/>
      <c r="G289" s="40"/>
      <c r="H289" s="40"/>
      <c r="I289" s="40"/>
      <c r="J289" s="40"/>
      <c r="K289" s="40"/>
      <c r="L289" s="40"/>
    </row>
    <row r="290" spans="1:12" ht="15" customHeight="1">
      <c r="A290" s="38" t="s">
        <v>312</v>
      </c>
      <c r="B290" s="43" t="str">
        <f>IFERROR(INDEX(Dim_Proyectos!$A:$A,MATCH(A290,Dim_Proyectos!$B:$B,0)),"")</f>
        <v>P005</v>
      </c>
      <c r="C290" s="44" t="s">
        <v>133</v>
      </c>
      <c r="D290" s="44" t="s">
        <v>157</v>
      </c>
      <c r="E290" s="45" t="s">
        <v>236</v>
      </c>
      <c r="F290" s="44"/>
      <c r="G290" s="44"/>
      <c r="H290" s="44"/>
      <c r="I290" s="44"/>
      <c r="J290" s="44"/>
      <c r="K290" s="44"/>
      <c r="L290" s="44"/>
    </row>
    <row r="291" spans="1:12" ht="15" customHeight="1">
      <c r="A291" s="38" t="s">
        <v>312</v>
      </c>
      <c r="B291" s="39" t="str">
        <f>IFERROR(INDEX(Dim_Proyectos!$A:$A,MATCH(A291,Dim_Proyectos!$B:$B,0)),"")</f>
        <v>P005</v>
      </c>
      <c r="C291" s="40" t="s">
        <v>133</v>
      </c>
      <c r="D291" s="40" t="s">
        <v>157</v>
      </c>
      <c r="E291" s="41" t="s">
        <v>163</v>
      </c>
      <c r="F291" s="40"/>
      <c r="G291" s="40"/>
      <c r="H291" s="40"/>
      <c r="I291" s="40"/>
      <c r="J291" s="40"/>
      <c r="K291" s="40"/>
      <c r="L291" s="40"/>
    </row>
    <row r="292" spans="1:12" ht="15" customHeight="1">
      <c r="A292" s="38" t="s">
        <v>312</v>
      </c>
      <c r="B292" s="43" t="str">
        <f>IFERROR(INDEX(Dim_Proyectos!$A:$A,MATCH(A292,Dim_Proyectos!$B:$B,0)),"")</f>
        <v>P005</v>
      </c>
      <c r="C292" s="44" t="s">
        <v>133</v>
      </c>
      <c r="D292" s="44" t="s">
        <v>157</v>
      </c>
      <c r="E292" s="45" t="s">
        <v>237</v>
      </c>
      <c r="F292" s="44"/>
      <c r="G292" s="44"/>
      <c r="H292" s="44"/>
      <c r="I292" s="44"/>
      <c r="J292" s="44"/>
      <c r="K292" s="44"/>
      <c r="L292" s="44"/>
    </row>
    <row r="293" spans="1:12" ht="15" customHeight="1">
      <c r="A293" s="38" t="s">
        <v>312</v>
      </c>
      <c r="B293" s="39" t="str">
        <f>IFERROR(INDEX(Dim_Proyectos!$A:$A,MATCH(A293,Dim_Proyectos!$B:$B,0)),"")</f>
        <v>P005</v>
      </c>
      <c r="C293" s="40" t="s">
        <v>133</v>
      </c>
      <c r="D293" s="40" t="s">
        <v>157</v>
      </c>
      <c r="E293" s="41" t="s">
        <v>238</v>
      </c>
      <c r="F293" s="40"/>
      <c r="G293" s="40"/>
      <c r="H293" s="40"/>
      <c r="I293" s="40"/>
      <c r="J293" s="40"/>
      <c r="K293" s="40"/>
      <c r="L293" s="40"/>
    </row>
    <row r="294" spans="1:12" ht="15" customHeight="1">
      <c r="A294" s="38" t="s">
        <v>312</v>
      </c>
      <c r="B294" s="43" t="str">
        <f>IFERROR(INDEX(Dim_Proyectos!$A:$A,MATCH(A294,Dim_Proyectos!$B:$B,0)),"")</f>
        <v>P005</v>
      </c>
      <c r="C294" s="44" t="s">
        <v>133</v>
      </c>
      <c r="D294" s="44" t="s">
        <v>157</v>
      </c>
      <c r="E294" s="45" t="s">
        <v>239</v>
      </c>
      <c r="F294" s="44"/>
      <c r="G294" s="44"/>
      <c r="H294" s="44"/>
      <c r="I294" s="44"/>
      <c r="J294" s="44"/>
      <c r="K294" s="44"/>
      <c r="L294" s="44"/>
    </row>
    <row r="295" spans="1:12" ht="15" customHeight="1">
      <c r="A295" s="38" t="s">
        <v>312</v>
      </c>
      <c r="B295" s="39" t="str">
        <f>IFERROR(INDEX(Dim_Proyectos!$A:$A,MATCH(A295,Dim_Proyectos!$B:$B,0)),"")</f>
        <v>P005</v>
      </c>
      <c r="C295" s="40" t="s">
        <v>133</v>
      </c>
      <c r="D295" s="40" t="s">
        <v>157</v>
      </c>
      <c r="E295" s="41" t="s">
        <v>267</v>
      </c>
      <c r="F295" s="40"/>
      <c r="G295" s="40"/>
      <c r="H295" s="40"/>
      <c r="I295" s="40"/>
      <c r="J295" s="40"/>
      <c r="K295" s="40"/>
      <c r="L295" s="40"/>
    </row>
    <row r="296" spans="1:12" ht="15" customHeight="1">
      <c r="A296" s="38" t="s">
        <v>312</v>
      </c>
      <c r="B296" s="43" t="str">
        <f>IFERROR(INDEX(Dim_Proyectos!$A:$A,MATCH(A296,Dim_Proyectos!$B:$B,0)),"")</f>
        <v>P005</v>
      </c>
      <c r="C296" s="44" t="s">
        <v>133</v>
      </c>
      <c r="D296" s="44" t="s">
        <v>157</v>
      </c>
      <c r="E296" s="45" t="s">
        <v>268</v>
      </c>
      <c r="F296" s="44"/>
      <c r="G296" s="44"/>
      <c r="H296" s="44"/>
      <c r="I296" s="44"/>
      <c r="J296" s="44"/>
      <c r="K296" s="44"/>
      <c r="L296" s="44"/>
    </row>
    <row r="297" spans="1:12" ht="15" customHeight="1">
      <c r="A297" s="38" t="s">
        <v>312</v>
      </c>
      <c r="B297" s="39" t="str">
        <f>IFERROR(INDEX(Dim_Proyectos!$A:$A,MATCH(A297,Dim_Proyectos!$B:$B,0)),"")</f>
        <v>P005</v>
      </c>
      <c r="C297" s="40" t="s">
        <v>133</v>
      </c>
      <c r="D297" s="40" t="s">
        <v>157</v>
      </c>
      <c r="E297" s="41" t="s">
        <v>162</v>
      </c>
      <c r="F297" s="40"/>
      <c r="G297" s="40"/>
      <c r="H297" s="40"/>
      <c r="I297" s="40"/>
      <c r="J297" s="40"/>
      <c r="K297" s="40"/>
      <c r="L297" s="40"/>
    </row>
    <row r="298" spans="1:12" ht="15" customHeight="1">
      <c r="A298" s="38" t="s">
        <v>312</v>
      </c>
      <c r="B298" s="43" t="str">
        <f>IFERROR(INDEX(Dim_Proyectos!$A:$A,MATCH(A298,Dim_Proyectos!$B:$B,0)),"")</f>
        <v>P005</v>
      </c>
      <c r="C298" s="44" t="s">
        <v>133</v>
      </c>
      <c r="D298" s="44" t="s">
        <v>157</v>
      </c>
      <c r="E298" s="45" t="s">
        <v>240</v>
      </c>
      <c r="F298" s="44"/>
      <c r="G298" s="44"/>
      <c r="H298" s="44"/>
      <c r="I298" s="44"/>
      <c r="J298" s="44"/>
      <c r="K298" s="44"/>
      <c r="L298" s="44"/>
    </row>
    <row r="299" spans="1:12" ht="15" customHeight="1">
      <c r="A299" s="38" t="s">
        <v>312</v>
      </c>
      <c r="B299" s="39" t="str">
        <f>IFERROR(INDEX(Dim_Proyectos!$A:$A,MATCH(A299,Dim_Proyectos!$B:$B,0)),"")</f>
        <v>P005</v>
      </c>
      <c r="C299" s="40" t="s">
        <v>133</v>
      </c>
      <c r="D299" s="40" t="s">
        <v>157</v>
      </c>
      <c r="E299" s="41" t="s">
        <v>241</v>
      </c>
      <c r="F299" s="40"/>
      <c r="G299" s="40"/>
      <c r="H299" s="40"/>
      <c r="I299" s="40"/>
      <c r="J299" s="40"/>
      <c r="K299" s="40"/>
      <c r="L299" s="40"/>
    </row>
    <row r="300" spans="1:12" ht="15" customHeight="1">
      <c r="A300" s="38" t="s">
        <v>312</v>
      </c>
      <c r="B300" s="43" t="str">
        <f>IFERROR(INDEX(Dim_Proyectos!$A:$A,MATCH(A300,Dim_Proyectos!$B:$B,0)),"")</f>
        <v>P005</v>
      </c>
      <c r="C300" s="44" t="s">
        <v>133</v>
      </c>
      <c r="D300" s="44" t="s">
        <v>157</v>
      </c>
      <c r="E300" s="45" t="s">
        <v>269</v>
      </c>
      <c r="F300" s="44"/>
      <c r="G300" s="44"/>
      <c r="H300" s="44"/>
      <c r="I300" s="44"/>
      <c r="J300" s="44"/>
      <c r="K300" s="44"/>
      <c r="L300" s="44"/>
    </row>
    <row r="301" spans="1:12" ht="15" customHeight="1">
      <c r="A301" s="38" t="s">
        <v>312</v>
      </c>
      <c r="B301" s="39" t="str">
        <f>IFERROR(INDEX(Dim_Proyectos!$A:$A,MATCH(A301,Dim_Proyectos!$B:$B,0)),"")</f>
        <v>P005</v>
      </c>
      <c r="C301" s="40" t="s">
        <v>133</v>
      </c>
      <c r="D301" s="40" t="s">
        <v>157</v>
      </c>
      <c r="E301" s="41" t="s">
        <v>270</v>
      </c>
      <c r="F301" s="40"/>
      <c r="G301" s="40"/>
      <c r="H301" s="40"/>
      <c r="I301" s="40"/>
      <c r="J301" s="40"/>
      <c r="K301" s="40"/>
      <c r="L301" s="40"/>
    </row>
    <row r="302" spans="1:12" ht="15" customHeight="1">
      <c r="A302" s="38" t="s">
        <v>312</v>
      </c>
      <c r="B302" s="43" t="str">
        <f>IFERROR(INDEX(Dim_Proyectos!$A:$A,MATCH(A302,Dim_Proyectos!$B:$B,0)),"")</f>
        <v>P005</v>
      </c>
      <c r="C302" s="44" t="s">
        <v>133</v>
      </c>
      <c r="D302" s="44" t="s">
        <v>157</v>
      </c>
      <c r="E302" s="45" t="s">
        <v>243</v>
      </c>
      <c r="F302" s="44"/>
      <c r="G302" s="44"/>
      <c r="H302" s="44"/>
      <c r="I302" s="44"/>
      <c r="J302" s="44"/>
      <c r="K302" s="44"/>
      <c r="L302" s="44"/>
    </row>
    <row r="303" spans="1:12" ht="15" customHeight="1">
      <c r="A303" s="38" t="s">
        <v>312</v>
      </c>
      <c r="B303" s="39" t="str">
        <f>IFERROR(INDEX(Dim_Proyectos!$A:$A,MATCH(A303,Dim_Proyectos!$B:$B,0)),"")</f>
        <v>P005</v>
      </c>
      <c r="C303" s="40" t="s">
        <v>133</v>
      </c>
      <c r="D303" s="40" t="s">
        <v>157</v>
      </c>
      <c r="E303" s="41" t="s">
        <v>244</v>
      </c>
      <c r="F303" s="40"/>
      <c r="G303" s="40"/>
      <c r="H303" s="40"/>
      <c r="I303" s="40"/>
      <c r="J303" s="40"/>
      <c r="K303" s="40"/>
      <c r="L303" s="40"/>
    </row>
    <row r="304" spans="1:12" ht="15" customHeight="1">
      <c r="A304" s="38" t="s">
        <v>312</v>
      </c>
      <c r="B304" s="43" t="str">
        <f>IFERROR(INDEX(Dim_Proyectos!$A:$A,MATCH(A304,Dim_Proyectos!$B:$B,0)),"")</f>
        <v>P005</v>
      </c>
      <c r="C304" s="44" t="s">
        <v>133</v>
      </c>
      <c r="D304" s="44" t="s">
        <v>157</v>
      </c>
      <c r="E304" s="45" t="s">
        <v>245</v>
      </c>
      <c r="F304" s="44"/>
      <c r="G304" s="44"/>
      <c r="H304" s="44"/>
      <c r="I304" s="44"/>
      <c r="J304" s="44"/>
      <c r="K304" s="44"/>
      <c r="L304" s="44"/>
    </row>
    <row r="305" spans="1:12" ht="15" customHeight="1">
      <c r="A305" s="38" t="s">
        <v>312</v>
      </c>
      <c r="B305" s="39" t="str">
        <f>IFERROR(INDEX(Dim_Proyectos!$A:$A,MATCH(A305,Dim_Proyectos!$B:$B,0)),"")</f>
        <v>P005</v>
      </c>
      <c r="C305" s="40" t="s">
        <v>133</v>
      </c>
      <c r="D305" s="40" t="s">
        <v>157</v>
      </c>
      <c r="E305" s="41" t="s">
        <v>271</v>
      </c>
      <c r="F305" s="40"/>
      <c r="G305" s="40"/>
      <c r="H305" s="40"/>
      <c r="I305" s="40"/>
      <c r="J305" s="40"/>
      <c r="K305" s="40"/>
      <c r="L305" s="40"/>
    </row>
    <row r="306" spans="1:12" ht="15" customHeight="1">
      <c r="A306" s="38" t="s">
        <v>312</v>
      </c>
      <c r="B306" s="43" t="str">
        <f>IFERROR(INDEX(Dim_Proyectos!$A:$A,MATCH(A306,Dim_Proyectos!$B:$B,0)),"")</f>
        <v>P005</v>
      </c>
      <c r="C306" s="44" t="s">
        <v>133</v>
      </c>
      <c r="D306" s="44" t="s">
        <v>157</v>
      </c>
      <c r="E306" s="45" t="s">
        <v>176</v>
      </c>
      <c r="F306" s="44"/>
      <c r="G306" s="44"/>
      <c r="H306" s="44"/>
      <c r="I306" s="44"/>
      <c r="J306" s="44"/>
      <c r="K306" s="44"/>
      <c r="L306" s="44"/>
    </row>
    <row r="307" spans="1:12" ht="15" customHeight="1">
      <c r="A307" s="38" t="s">
        <v>312</v>
      </c>
      <c r="B307" s="39" t="str">
        <f>IFERROR(INDEX(Dim_Proyectos!$A:$A,MATCH(A307,Dim_Proyectos!$B:$B,0)),"")</f>
        <v>P005</v>
      </c>
      <c r="C307" s="40" t="s">
        <v>133</v>
      </c>
      <c r="D307" s="40" t="s">
        <v>157</v>
      </c>
      <c r="E307" s="41" t="s">
        <v>272</v>
      </c>
      <c r="F307" s="40"/>
      <c r="G307" s="40"/>
      <c r="H307" s="40"/>
      <c r="I307" s="40"/>
      <c r="J307" s="40"/>
      <c r="K307" s="40"/>
      <c r="L307" s="40"/>
    </row>
    <row r="308" spans="1:12" ht="15" customHeight="1">
      <c r="A308" s="38" t="s">
        <v>312</v>
      </c>
      <c r="B308" s="43" t="str">
        <f>IFERROR(INDEX(Dim_Proyectos!$A:$A,MATCH(A308,Dim_Proyectos!$B:$B,0)),"")</f>
        <v>P005</v>
      </c>
      <c r="C308" s="44" t="s">
        <v>133</v>
      </c>
      <c r="D308" s="44" t="s">
        <v>157</v>
      </c>
      <c r="E308" s="45" t="s">
        <v>273</v>
      </c>
      <c r="F308" s="44"/>
      <c r="G308" s="44"/>
      <c r="H308" s="44"/>
      <c r="I308" s="44"/>
      <c r="J308" s="44"/>
      <c r="K308" s="44"/>
      <c r="L308" s="44"/>
    </row>
    <row r="309" spans="1:12" ht="15" customHeight="1">
      <c r="A309" s="38" t="s">
        <v>312</v>
      </c>
      <c r="B309" s="39" t="str">
        <f>IFERROR(INDEX(Dim_Proyectos!$A:$A,MATCH(A309,Dim_Proyectos!$B:$B,0)),"")</f>
        <v>P005</v>
      </c>
      <c r="C309" s="40" t="s">
        <v>133</v>
      </c>
      <c r="D309" s="40" t="s">
        <v>157</v>
      </c>
      <c r="E309" s="41" t="s">
        <v>274</v>
      </c>
      <c r="F309" s="40"/>
      <c r="G309" s="40"/>
      <c r="H309" s="40"/>
      <c r="I309" s="40"/>
      <c r="J309" s="40"/>
      <c r="K309" s="40"/>
      <c r="L309" s="40"/>
    </row>
    <row r="310" spans="1:12" ht="15" customHeight="1">
      <c r="A310" s="38" t="s">
        <v>312</v>
      </c>
      <c r="B310" s="43" t="str">
        <f>IFERROR(INDEX(Dim_Proyectos!$A:$A,MATCH(A310,Dim_Proyectos!$B:$B,0)),"")</f>
        <v>P005</v>
      </c>
      <c r="C310" s="44" t="s">
        <v>133</v>
      </c>
      <c r="D310" s="44" t="s">
        <v>187</v>
      </c>
      <c r="E310" s="45" t="s">
        <v>275</v>
      </c>
      <c r="F310" s="44"/>
      <c r="G310" s="44"/>
      <c r="H310" s="44"/>
      <c r="I310" s="44"/>
      <c r="J310" s="44"/>
      <c r="K310" s="44"/>
      <c r="L310" s="44"/>
    </row>
    <row r="311" spans="1:12" ht="15" customHeight="1">
      <c r="A311" s="38" t="s">
        <v>312</v>
      </c>
      <c r="B311" s="39" t="str">
        <f>IFERROR(INDEX(Dim_Proyectos!$A:$A,MATCH(A311,Dim_Proyectos!$B:$B,0)),"")</f>
        <v>P005</v>
      </c>
      <c r="C311" s="40" t="s">
        <v>133</v>
      </c>
      <c r="D311" s="40" t="s">
        <v>187</v>
      </c>
      <c r="E311" s="41" t="s">
        <v>276</v>
      </c>
      <c r="F311" s="40"/>
      <c r="G311" s="40"/>
      <c r="H311" s="40"/>
      <c r="I311" s="40"/>
      <c r="J311" s="40"/>
      <c r="K311" s="40"/>
      <c r="L311" s="40"/>
    </row>
    <row r="312" spans="1:12" ht="15" customHeight="1">
      <c r="A312" s="38" t="s">
        <v>312</v>
      </c>
      <c r="B312" s="43" t="str">
        <f>IFERROR(INDEX(Dim_Proyectos!$A:$A,MATCH(A312,Dim_Proyectos!$B:$B,0)),"")</f>
        <v>P005</v>
      </c>
      <c r="C312" s="44" t="s">
        <v>133</v>
      </c>
      <c r="D312" s="44" t="s">
        <v>187</v>
      </c>
      <c r="E312" s="45" t="s">
        <v>277</v>
      </c>
      <c r="F312" s="44"/>
      <c r="G312" s="44"/>
      <c r="H312" s="44"/>
      <c r="I312" s="44"/>
      <c r="J312" s="44"/>
      <c r="K312" s="44"/>
      <c r="L312" s="44"/>
    </row>
    <row r="313" spans="1:12" ht="15" customHeight="1">
      <c r="A313" s="38" t="s">
        <v>312</v>
      </c>
      <c r="B313" s="39" t="str">
        <f>IFERROR(INDEX(Dim_Proyectos!$A:$A,MATCH(A313,Dim_Proyectos!$B:$B,0)),"")</f>
        <v>P005</v>
      </c>
      <c r="C313" s="40" t="s">
        <v>133</v>
      </c>
      <c r="D313" s="40" t="s">
        <v>187</v>
      </c>
      <c r="E313" s="41" t="s">
        <v>278</v>
      </c>
      <c r="F313" s="40"/>
      <c r="G313" s="40"/>
      <c r="H313" s="40"/>
      <c r="I313" s="40"/>
      <c r="J313" s="40"/>
      <c r="K313" s="40"/>
      <c r="L313" s="40"/>
    </row>
    <row r="314" spans="1:12" ht="15" customHeight="1">
      <c r="A314" s="38" t="s">
        <v>312</v>
      </c>
      <c r="B314" s="43" t="str">
        <f>IFERROR(INDEX(Dim_Proyectos!$A:$A,MATCH(A314,Dim_Proyectos!$B:$B,0)),"")</f>
        <v>P005</v>
      </c>
      <c r="C314" s="44" t="s">
        <v>133</v>
      </c>
      <c r="D314" s="44" t="s">
        <v>187</v>
      </c>
      <c r="E314" s="45" t="s">
        <v>279</v>
      </c>
      <c r="F314" s="44"/>
      <c r="G314" s="44"/>
      <c r="H314" s="44"/>
      <c r="I314" s="44"/>
      <c r="J314" s="44"/>
      <c r="K314" s="44"/>
      <c r="L314" s="44"/>
    </row>
    <row r="315" spans="1:12" ht="20.25" customHeight="1">
      <c r="A315" s="38" t="s">
        <v>312</v>
      </c>
      <c r="B315" s="39" t="str">
        <f>IFERROR(INDEX(Dim_Proyectos!$A:$A,MATCH(A315,Dim_Proyectos!$B:$B,0)),"")</f>
        <v>P005</v>
      </c>
      <c r="C315" s="40" t="s">
        <v>133</v>
      </c>
      <c r="D315" s="40" t="s">
        <v>187</v>
      </c>
      <c r="E315" s="41" t="s">
        <v>280</v>
      </c>
      <c r="F315" s="40"/>
      <c r="G315" s="40"/>
      <c r="H315" s="40"/>
      <c r="I315" s="40"/>
      <c r="J315" s="40"/>
      <c r="K315" s="40"/>
      <c r="L315" s="40"/>
    </row>
    <row r="316" spans="1:12" ht="15" customHeight="1">
      <c r="A316" s="38" t="s">
        <v>312</v>
      </c>
      <c r="B316" s="43" t="str">
        <f>IFERROR(INDEX(Dim_Proyectos!$A:$A,MATCH(A316,Dim_Proyectos!$B:$B,0)),"")</f>
        <v>P005</v>
      </c>
      <c r="C316" s="44" t="s">
        <v>133</v>
      </c>
      <c r="D316" s="44" t="s">
        <v>187</v>
      </c>
      <c r="E316" s="45" t="s">
        <v>250</v>
      </c>
      <c r="F316" s="44"/>
      <c r="G316" s="44"/>
      <c r="H316" s="44"/>
      <c r="I316" s="44"/>
      <c r="J316" s="44"/>
      <c r="K316" s="44"/>
      <c r="L316" s="44"/>
    </row>
    <row r="317" spans="1:12" ht="15" customHeight="1">
      <c r="A317" s="38" t="s">
        <v>312</v>
      </c>
      <c r="B317" s="39" t="str">
        <f>IFERROR(INDEX(Dim_Proyectos!$A:$A,MATCH(A317,Dim_Proyectos!$B:$B,0)),"")</f>
        <v>P005</v>
      </c>
      <c r="C317" s="40" t="s">
        <v>133</v>
      </c>
      <c r="D317" s="40" t="s">
        <v>187</v>
      </c>
      <c r="E317" s="41" t="s">
        <v>281</v>
      </c>
      <c r="F317" s="40"/>
      <c r="G317" s="40"/>
      <c r="H317" s="40"/>
      <c r="I317" s="40"/>
      <c r="J317" s="40"/>
      <c r="K317" s="40"/>
      <c r="L317" s="40"/>
    </row>
    <row r="318" spans="1:12" ht="20.25" customHeight="1">
      <c r="A318" s="38" t="s">
        <v>312</v>
      </c>
      <c r="B318" s="43" t="str">
        <f>IFERROR(INDEX(Dim_Proyectos!$A:$A,MATCH(A318,Dim_Proyectos!$B:$B,0)),"")</f>
        <v>P005</v>
      </c>
      <c r="C318" s="44" t="s">
        <v>133</v>
      </c>
      <c r="D318" s="44" t="s">
        <v>187</v>
      </c>
      <c r="E318" s="45" t="s">
        <v>282</v>
      </c>
      <c r="F318" s="44"/>
      <c r="G318" s="44"/>
      <c r="H318" s="44"/>
      <c r="I318" s="44"/>
      <c r="J318" s="44"/>
      <c r="K318" s="44"/>
      <c r="L318" s="44"/>
    </row>
    <row r="319" spans="1:12" ht="15" customHeight="1">
      <c r="A319" s="38" t="s">
        <v>312</v>
      </c>
      <c r="B319" s="39" t="str">
        <f>IFERROR(INDEX(Dim_Proyectos!$A:$A,MATCH(A319,Dim_Proyectos!$B:$B,0)),"")</f>
        <v>P005</v>
      </c>
      <c r="C319" s="40" t="s">
        <v>133</v>
      </c>
      <c r="D319" s="40" t="s">
        <v>192</v>
      </c>
      <c r="E319" s="41" t="s">
        <v>283</v>
      </c>
      <c r="F319" s="40"/>
      <c r="G319" s="40"/>
      <c r="H319" s="40"/>
      <c r="I319" s="40"/>
      <c r="J319" s="40"/>
      <c r="K319" s="40"/>
      <c r="L319" s="40"/>
    </row>
    <row r="320" spans="1:12" ht="15" customHeight="1">
      <c r="A320" s="38" t="s">
        <v>312</v>
      </c>
      <c r="B320" s="43" t="str">
        <f>IFERROR(INDEX(Dim_Proyectos!$A:$A,MATCH(A320,Dim_Proyectos!$B:$B,0)),"")</f>
        <v>P005</v>
      </c>
      <c r="C320" s="44" t="s">
        <v>133</v>
      </c>
      <c r="D320" s="44" t="s">
        <v>192</v>
      </c>
      <c r="E320" s="45" t="s">
        <v>284</v>
      </c>
      <c r="F320" s="44"/>
      <c r="G320" s="44"/>
      <c r="H320" s="44"/>
      <c r="I320" s="44"/>
      <c r="J320" s="44"/>
      <c r="K320" s="44"/>
      <c r="L320" s="44"/>
    </row>
    <row r="321" spans="1:12" ht="15" customHeight="1">
      <c r="A321" s="38" t="s">
        <v>312</v>
      </c>
      <c r="B321" s="39" t="str">
        <f>IFERROR(INDEX(Dim_Proyectos!$A:$A,MATCH(A321,Dim_Proyectos!$B:$B,0)),"")</f>
        <v>P005</v>
      </c>
      <c r="C321" s="40" t="s">
        <v>133</v>
      </c>
      <c r="D321" s="40" t="s">
        <v>192</v>
      </c>
      <c r="E321" s="41" t="s">
        <v>285</v>
      </c>
      <c r="F321" s="40"/>
      <c r="G321" s="40"/>
      <c r="H321" s="40"/>
      <c r="I321" s="40"/>
      <c r="J321" s="40"/>
      <c r="K321" s="40"/>
      <c r="L321" s="40"/>
    </row>
    <row r="322" spans="1:12" ht="15" customHeight="1">
      <c r="A322" s="38" t="s">
        <v>312</v>
      </c>
      <c r="B322" s="43" t="str">
        <f>IFERROR(INDEX(Dim_Proyectos!$A:$A,MATCH(A322,Dim_Proyectos!$B:$B,0)),"")</f>
        <v>P005</v>
      </c>
      <c r="C322" s="44" t="s">
        <v>133</v>
      </c>
      <c r="D322" s="44" t="s">
        <v>192</v>
      </c>
      <c r="E322" s="45" t="s">
        <v>286</v>
      </c>
      <c r="F322" s="44"/>
      <c r="G322" s="44"/>
      <c r="H322" s="44"/>
      <c r="I322" s="44"/>
      <c r="J322" s="44"/>
      <c r="K322" s="44"/>
      <c r="L322" s="44"/>
    </row>
    <row r="323" spans="1:12" ht="15" customHeight="1">
      <c r="A323" s="38" t="s">
        <v>312</v>
      </c>
      <c r="B323" s="39" t="str">
        <f>IFERROR(INDEX(Dim_Proyectos!$A:$A,MATCH(A323,Dim_Proyectos!$B:$B,0)),"")</f>
        <v>P005</v>
      </c>
      <c r="C323" s="40" t="s">
        <v>133</v>
      </c>
      <c r="D323" s="40" t="s">
        <v>200</v>
      </c>
      <c r="E323" s="41" t="s">
        <v>287</v>
      </c>
      <c r="F323" s="40"/>
      <c r="G323" s="40"/>
      <c r="H323" s="40"/>
      <c r="I323" s="40"/>
      <c r="J323" s="40"/>
      <c r="K323" s="40"/>
      <c r="L323" s="40"/>
    </row>
    <row r="324" spans="1:12" ht="15" customHeight="1">
      <c r="A324" s="38" t="s">
        <v>312</v>
      </c>
      <c r="B324" s="43" t="str">
        <f>IFERROR(INDEX(Dim_Proyectos!$A:$A,MATCH(A324,Dim_Proyectos!$B:$B,0)),"")</f>
        <v>P005</v>
      </c>
      <c r="C324" s="44" t="s">
        <v>133</v>
      </c>
      <c r="D324" s="44" t="s">
        <v>200</v>
      </c>
      <c r="E324" s="45" t="s">
        <v>288</v>
      </c>
      <c r="F324" s="44"/>
      <c r="G324" s="44"/>
      <c r="H324" s="44"/>
      <c r="I324" s="44"/>
      <c r="J324" s="44"/>
      <c r="K324" s="44"/>
      <c r="L324" s="44"/>
    </row>
    <row r="325" spans="1:12" ht="20.25" customHeight="1">
      <c r="A325" s="38" t="s">
        <v>312</v>
      </c>
      <c r="B325" s="39" t="str">
        <f>IFERROR(INDEX(Dim_Proyectos!$A:$A,MATCH(A325,Dim_Proyectos!$B:$B,0)),"")</f>
        <v>P005</v>
      </c>
      <c r="C325" s="40" t="s">
        <v>133</v>
      </c>
      <c r="D325" s="40" t="s">
        <v>200</v>
      </c>
      <c r="E325" s="41" t="s">
        <v>289</v>
      </c>
      <c r="F325" s="40"/>
      <c r="G325" s="40"/>
      <c r="H325" s="40"/>
      <c r="I325" s="40"/>
      <c r="J325" s="40"/>
      <c r="K325" s="40"/>
      <c r="L325" s="40"/>
    </row>
    <row r="326" spans="1:12" ht="15" customHeight="1">
      <c r="A326" s="38" t="s">
        <v>312</v>
      </c>
      <c r="B326" s="43" t="str">
        <f>IFERROR(INDEX(Dim_Proyectos!$A:$A,MATCH(A326,Dim_Proyectos!$B:$B,0)),"")</f>
        <v>P005</v>
      </c>
      <c r="C326" s="44" t="s">
        <v>133</v>
      </c>
      <c r="D326" s="44" t="s">
        <v>202</v>
      </c>
      <c r="E326" s="45" t="s">
        <v>290</v>
      </c>
      <c r="F326" s="44"/>
      <c r="G326" s="44"/>
      <c r="H326" s="44"/>
      <c r="I326" s="44"/>
      <c r="J326" s="44"/>
      <c r="K326" s="44"/>
      <c r="L326" s="44"/>
    </row>
    <row r="327" spans="1:12" ht="20.25" customHeight="1">
      <c r="A327" s="38" t="s">
        <v>312</v>
      </c>
      <c r="B327" s="39" t="str">
        <f>IFERROR(INDEX(Dim_Proyectos!$A:$A,MATCH(A327,Dim_Proyectos!$B:$B,0)),"")</f>
        <v>P005</v>
      </c>
      <c r="C327" s="40" t="s">
        <v>133</v>
      </c>
      <c r="D327" s="40" t="s">
        <v>202</v>
      </c>
      <c r="E327" s="41" t="s">
        <v>291</v>
      </c>
      <c r="F327" s="40"/>
      <c r="G327" s="40"/>
      <c r="H327" s="40"/>
      <c r="I327" s="40"/>
      <c r="J327" s="40"/>
      <c r="K327" s="40"/>
      <c r="L327" s="40"/>
    </row>
    <row r="328" spans="1:12" ht="15" customHeight="1">
      <c r="A328" s="38" t="s">
        <v>312</v>
      </c>
      <c r="B328" s="43" t="str">
        <f>IFERROR(INDEX(Dim_Proyectos!$A:$A,MATCH(A328,Dim_Proyectos!$B:$B,0)),"")</f>
        <v>P005</v>
      </c>
      <c r="C328" s="44" t="s">
        <v>133</v>
      </c>
      <c r="D328" s="44" t="s">
        <v>204</v>
      </c>
      <c r="E328" s="45" t="s">
        <v>292</v>
      </c>
      <c r="F328" s="44"/>
      <c r="G328" s="44"/>
      <c r="H328" s="44"/>
      <c r="I328" s="44"/>
      <c r="J328" s="44"/>
      <c r="K328" s="44"/>
      <c r="L328" s="44"/>
    </row>
    <row r="329" spans="1:12" ht="15" customHeight="1">
      <c r="A329" s="38" t="s">
        <v>312</v>
      </c>
      <c r="B329" s="39" t="str">
        <f>IFERROR(INDEX(Dim_Proyectos!$A:$A,MATCH(A329,Dim_Proyectos!$B:$B,0)),"")</f>
        <v>P005</v>
      </c>
      <c r="C329" s="40" t="s">
        <v>133</v>
      </c>
      <c r="D329" s="40" t="s">
        <v>204</v>
      </c>
      <c r="E329" s="41" t="s">
        <v>293</v>
      </c>
      <c r="F329" s="40"/>
      <c r="G329" s="40"/>
      <c r="H329" s="40"/>
      <c r="I329" s="40"/>
      <c r="J329" s="40"/>
      <c r="K329" s="40"/>
      <c r="L329" s="40"/>
    </row>
    <row r="330" spans="1:12" ht="15" customHeight="1">
      <c r="A330" s="38" t="s">
        <v>312</v>
      </c>
      <c r="B330" s="43" t="str">
        <f>IFERROR(INDEX(Dim_Proyectos!$A:$A,MATCH(A330,Dim_Proyectos!$B:$B,0)),"")</f>
        <v>P005</v>
      </c>
      <c r="C330" s="44" t="s">
        <v>133</v>
      </c>
      <c r="D330" s="44" t="s">
        <v>206</v>
      </c>
      <c r="E330" s="45" t="s">
        <v>294</v>
      </c>
      <c r="F330" s="44"/>
      <c r="G330" s="44"/>
      <c r="H330" s="44"/>
      <c r="I330" s="44"/>
      <c r="J330" s="44"/>
      <c r="K330" s="44"/>
      <c r="L330" s="44"/>
    </row>
    <row r="331" spans="1:12" ht="15" customHeight="1">
      <c r="A331" s="38" t="s">
        <v>312</v>
      </c>
      <c r="B331" s="39" t="str">
        <f>IFERROR(INDEX(Dim_Proyectos!$A:$A,MATCH(A331,Dim_Proyectos!$B:$B,0)),"")</f>
        <v>P005</v>
      </c>
      <c r="C331" s="40" t="s">
        <v>133</v>
      </c>
      <c r="D331" s="40" t="s">
        <v>206</v>
      </c>
      <c r="E331" s="41" t="s">
        <v>210</v>
      </c>
      <c r="F331" s="40"/>
      <c r="G331" s="40"/>
      <c r="H331" s="40"/>
      <c r="I331" s="40"/>
      <c r="J331" s="40"/>
      <c r="K331" s="40"/>
      <c r="L331" s="40"/>
    </row>
    <row r="332" spans="1:12" ht="15" customHeight="1">
      <c r="A332" s="38" t="s">
        <v>312</v>
      </c>
      <c r="B332" s="43" t="str">
        <f>IFERROR(INDEX(Dim_Proyectos!$A:$A,MATCH(A332,Dim_Proyectos!$B:$B,0)),"")</f>
        <v>P005</v>
      </c>
      <c r="C332" s="44" t="s">
        <v>133</v>
      </c>
      <c r="D332" s="44" t="s">
        <v>206</v>
      </c>
      <c r="E332" s="45" t="s">
        <v>295</v>
      </c>
      <c r="F332" s="44"/>
      <c r="G332" s="44"/>
      <c r="H332" s="44"/>
      <c r="I332" s="44"/>
      <c r="J332" s="44"/>
      <c r="K332" s="44"/>
      <c r="L332" s="44"/>
    </row>
    <row r="333" spans="1:12" ht="15" customHeight="1">
      <c r="A333" s="38" t="s">
        <v>312</v>
      </c>
      <c r="B333" s="39" t="str">
        <f>IFERROR(INDEX(Dim_Proyectos!$A:$A,MATCH(A333,Dim_Proyectos!$B:$B,0)),"")</f>
        <v>P005</v>
      </c>
      <c r="C333" s="40" t="s">
        <v>133</v>
      </c>
      <c r="D333" s="40" t="s">
        <v>206</v>
      </c>
      <c r="E333" s="41" t="s">
        <v>296</v>
      </c>
      <c r="F333" s="40"/>
      <c r="G333" s="40"/>
      <c r="H333" s="40"/>
      <c r="I333" s="40"/>
      <c r="J333" s="40"/>
      <c r="K333" s="40"/>
      <c r="L333" s="40"/>
    </row>
    <row r="334" spans="1:12" ht="20.25" customHeight="1">
      <c r="A334" s="38" t="s">
        <v>312</v>
      </c>
      <c r="B334" s="43" t="str">
        <f>IFERROR(INDEX(Dim_Proyectos!$A:$A,MATCH(A334,Dim_Proyectos!$B:$B,0)),"")</f>
        <v>P005</v>
      </c>
      <c r="C334" s="44" t="s">
        <v>133</v>
      </c>
      <c r="D334" s="44" t="s">
        <v>206</v>
      </c>
      <c r="E334" s="45" t="s">
        <v>297</v>
      </c>
      <c r="F334" s="44"/>
      <c r="G334" s="44"/>
      <c r="H334" s="44"/>
      <c r="I334" s="44"/>
      <c r="J334" s="44"/>
      <c r="K334" s="44"/>
      <c r="L334" s="44"/>
    </row>
    <row r="335" spans="1:12" ht="15" customHeight="1">
      <c r="A335" s="38" t="s">
        <v>312</v>
      </c>
      <c r="B335" s="39" t="str">
        <f>IFERROR(INDEX(Dim_Proyectos!$A:$A,MATCH(A335,Dim_Proyectos!$B:$B,0)),"")</f>
        <v>P005</v>
      </c>
      <c r="C335" s="40" t="s">
        <v>133</v>
      </c>
      <c r="D335" s="40" t="s">
        <v>206</v>
      </c>
      <c r="E335" s="41" t="s">
        <v>298</v>
      </c>
      <c r="F335" s="40"/>
      <c r="G335" s="40"/>
      <c r="H335" s="40"/>
      <c r="I335" s="40"/>
      <c r="J335" s="40"/>
      <c r="K335" s="40"/>
      <c r="L335" s="40"/>
    </row>
    <row r="336" spans="1:12" ht="15" customHeight="1">
      <c r="A336" s="38" t="s">
        <v>312</v>
      </c>
      <c r="B336" s="43" t="str">
        <f>IFERROR(INDEX(Dim_Proyectos!$A:$A,MATCH(A336,Dim_Proyectos!$B:$B,0)),"")</f>
        <v>P005</v>
      </c>
      <c r="C336" s="44" t="s">
        <v>133</v>
      </c>
      <c r="D336" s="44" t="s">
        <v>206</v>
      </c>
      <c r="E336" s="45" t="s">
        <v>260</v>
      </c>
      <c r="F336" s="44"/>
      <c r="G336" s="44"/>
      <c r="H336" s="44"/>
      <c r="I336" s="44"/>
      <c r="J336" s="44"/>
      <c r="K336" s="44"/>
      <c r="L336" s="44"/>
    </row>
    <row r="337" spans="1:12" ht="15" customHeight="1">
      <c r="A337" s="38" t="s">
        <v>312</v>
      </c>
      <c r="B337" s="39" t="str">
        <f>IFERROR(INDEX(Dim_Proyectos!$A:$A,MATCH(A337,Dim_Proyectos!$B:$B,0)),"")</f>
        <v>P005</v>
      </c>
      <c r="C337" s="40" t="s">
        <v>133</v>
      </c>
      <c r="D337" s="40" t="s">
        <v>206</v>
      </c>
      <c r="E337" s="41" t="s">
        <v>262</v>
      </c>
      <c r="F337" s="40"/>
      <c r="G337" s="40"/>
      <c r="H337" s="40"/>
      <c r="I337" s="40"/>
      <c r="J337" s="40"/>
      <c r="K337" s="40"/>
      <c r="L337" s="40"/>
    </row>
    <row r="338" spans="1:12" ht="15" customHeight="1">
      <c r="A338" s="38" t="s">
        <v>312</v>
      </c>
      <c r="B338" s="43" t="str">
        <f>IFERROR(INDEX(Dim_Proyectos!$A:$A,MATCH(A338,Dim_Proyectos!$B:$B,0)),"")</f>
        <v>P005</v>
      </c>
      <c r="C338" s="44" t="s">
        <v>133</v>
      </c>
      <c r="D338" s="44" t="s">
        <v>206</v>
      </c>
      <c r="E338" s="45" t="s">
        <v>299</v>
      </c>
      <c r="F338" s="44"/>
      <c r="G338" s="44"/>
      <c r="H338" s="44"/>
      <c r="I338" s="44"/>
      <c r="J338" s="44"/>
      <c r="K338" s="44"/>
      <c r="L338" s="44"/>
    </row>
    <row r="339" spans="1:12" ht="15" customHeight="1">
      <c r="A339" s="38" t="s">
        <v>312</v>
      </c>
      <c r="B339" s="39" t="str">
        <f>IFERROR(INDEX(Dim_Proyectos!$A:$A,MATCH(A339,Dim_Proyectos!$B:$B,0)),"")</f>
        <v>P005</v>
      </c>
      <c r="C339" s="40" t="s">
        <v>133</v>
      </c>
      <c r="D339" s="40" t="s">
        <v>206</v>
      </c>
      <c r="E339" s="41" t="s">
        <v>300</v>
      </c>
      <c r="F339" s="40"/>
      <c r="G339" s="40"/>
      <c r="H339" s="40"/>
      <c r="I339" s="40"/>
      <c r="J339" s="40"/>
      <c r="K339" s="40"/>
      <c r="L339" s="40"/>
    </row>
    <row r="340" spans="1:12" ht="15" customHeight="1">
      <c r="A340" s="38" t="s">
        <v>312</v>
      </c>
      <c r="B340" s="43" t="str">
        <f>IFERROR(INDEX(Dim_Proyectos!$A:$A,MATCH(A340,Dim_Proyectos!$B:$B,0)),"")</f>
        <v>P005</v>
      </c>
      <c r="C340" s="44" t="s">
        <v>133</v>
      </c>
      <c r="D340" s="44" t="s">
        <v>206</v>
      </c>
      <c r="E340" s="45" t="s">
        <v>301</v>
      </c>
      <c r="F340" s="44"/>
      <c r="G340" s="44"/>
      <c r="H340" s="44"/>
      <c r="I340" s="44"/>
      <c r="J340" s="44"/>
      <c r="K340" s="44"/>
      <c r="L340" s="44"/>
    </row>
    <row r="341" spans="1:12" ht="15" customHeight="1">
      <c r="A341" s="38" t="s">
        <v>312</v>
      </c>
      <c r="B341" s="39" t="str">
        <f>IFERROR(INDEX(Dim_Proyectos!$A:$A,MATCH(A341,Dim_Proyectos!$B:$B,0)),"")</f>
        <v>P005</v>
      </c>
      <c r="C341" s="40" t="s">
        <v>133</v>
      </c>
      <c r="D341" s="40" t="s">
        <v>206</v>
      </c>
      <c r="E341" s="41" t="s">
        <v>302</v>
      </c>
      <c r="F341" s="40"/>
      <c r="G341" s="40"/>
      <c r="H341" s="40"/>
      <c r="I341" s="40"/>
      <c r="J341" s="40"/>
      <c r="K341" s="40"/>
      <c r="L341" s="40"/>
    </row>
    <row r="342" spans="1:12" ht="15" customHeight="1">
      <c r="A342" s="38" t="s">
        <v>312</v>
      </c>
      <c r="B342" s="43" t="str">
        <f>IFERROR(INDEX(Dim_Proyectos!$A:$A,MATCH(A342,Dim_Proyectos!$B:$B,0)),"")</f>
        <v>P005</v>
      </c>
      <c r="C342" s="44" t="s">
        <v>133</v>
      </c>
      <c r="D342" s="44" t="s">
        <v>206</v>
      </c>
      <c r="E342" s="45" t="s">
        <v>303</v>
      </c>
      <c r="F342" s="44"/>
      <c r="G342" s="44"/>
      <c r="H342" s="44"/>
      <c r="I342" s="44"/>
      <c r="J342" s="44"/>
      <c r="K342" s="44"/>
      <c r="L342" s="44"/>
    </row>
    <row r="343" spans="1:12" ht="15" customHeight="1">
      <c r="A343" s="38" t="s">
        <v>312</v>
      </c>
      <c r="B343" s="39" t="str">
        <f>IFERROR(INDEX(Dim_Proyectos!$A:$A,MATCH(A343,Dim_Proyectos!$B:$B,0)),"")</f>
        <v>P005</v>
      </c>
      <c r="C343" s="40" t="s">
        <v>133</v>
      </c>
      <c r="D343" s="40" t="s">
        <v>206</v>
      </c>
      <c r="E343" s="41" t="s">
        <v>304</v>
      </c>
      <c r="F343" s="40"/>
      <c r="G343" s="40"/>
      <c r="H343" s="40"/>
      <c r="I343" s="40"/>
      <c r="J343" s="40"/>
      <c r="K343" s="40"/>
      <c r="L343" s="40"/>
    </row>
    <row r="344" spans="1:12" ht="15" customHeight="1">
      <c r="A344" s="38" t="s">
        <v>312</v>
      </c>
      <c r="B344" s="43" t="str">
        <f>IFERROR(INDEX(Dim_Proyectos!$A:$A,MATCH(A344,Dim_Proyectos!$B:$B,0)),"")</f>
        <v>P005</v>
      </c>
      <c r="C344" s="44" t="s">
        <v>133</v>
      </c>
      <c r="D344" s="44" t="s">
        <v>206</v>
      </c>
      <c r="E344" s="45" t="s">
        <v>305</v>
      </c>
      <c r="F344" s="44"/>
      <c r="G344" s="44"/>
      <c r="H344" s="44"/>
      <c r="I344" s="44"/>
      <c r="J344" s="44"/>
      <c r="K344" s="44"/>
      <c r="L344" s="44"/>
    </row>
    <row r="345" spans="1:12" ht="15" customHeight="1">
      <c r="A345" s="38" t="s">
        <v>312</v>
      </c>
      <c r="B345" s="39" t="str">
        <f>IFERROR(INDEX(Dim_Proyectos!$A:$A,MATCH(A345,Dim_Proyectos!$B:$B,0)),"")</f>
        <v>P005</v>
      </c>
      <c r="C345" s="40" t="s">
        <v>133</v>
      </c>
      <c r="D345" s="40" t="s">
        <v>206</v>
      </c>
      <c r="E345" s="41" t="s">
        <v>306</v>
      </c>
      <c r="F345" s="40"/>
      <c r="G345" s="40"/>
      <c r="H345" s="40"/>
      <c r="I345" s="40"/>
      <c r="J345" s="40"/>
      <c r="K345" s="40"/>
      <c r="L345" s="40"/>
    </row>
    <row r="346" spans="1:12" ht="15" customHeight="1">
      <c r="A346" s="38" t="s">
        <v>312</v>
      </c>
      <c r="B346" s="43" t="str">
        <f>IFERROR(INDEX(Dim_Proyectos!$A:$A,MATCH(A346,Dim_Proyectos!$B:$B,0)),"")</f>
        <v>P005</v>
      </c>
      <c r="C346" s="44" t="s">
        <v>133</v>
      </c>
      <c r="D346" s="44" t="s">
        <v>206</v>
      </c>
      <c r="E346" s="45" t="s">
        <v>307</v>
      </c>
      <c r="F346" s="44"/>
      <c r="G346" s="44"/>
      <c r="H346" s="44"/>
      <c r="I346" s="44"/>
      <c r="J346" s="44"/>
      <c r="K346" s="44"/>
      <c r="L346" s="44"/>
    </row>
    <row r="347" spans="1:12" ht="15" customHeight="1">
      <c r="A347" s="38" t="s">
        <v>312</v>
      </c>
      <c r="B347" s="39" t="str">
        <f>IFERROR(INDEX(Dim_Proyectos!$A:$A,MATCH(A347,Dim_Proyectos!$B:$B,0)),"")</f>
        <v>P005</v>
      </c>
      <c r="C347" s="40" t="s">
        <v>133</v>
      </c>
      <c r="D347" s="40" t="s">
        <v>206</v>
      </c>
      <c r="E347" s="41" t="s">
        <v>308</v>
      </c>
      <c r="F347" s="40"/>
      <c r="G347" s="40"/>
      <c r="H347" s="40"/>
      <c r="I347" s="40"/>
      <c r="J347" s="40"/>
      <c r="K347" s="40"/>
      <c r="L347" s="40"/>
    </row>
    <row r="348" spans="1:12" ht="15" customHeight="1">
      <c r="A348" s="38" t="s">
        <v>312</v>
      </c>
      <c r="B348" s="43" t="str">
        <f>IFERROR(INDEX(Dim_Proyectos!$A:$A,MATCH(A348,Dim_Proyectos!$B:$B,0)),"")</f>
        <v>P005</v>
      </c>
      <c r="C348" s="44" t="s">
        <v>133</v>
      </c>
      <c r="D348" s="44" t="s">
        <v>226</v>
      </c>
      <c r="E348" s="45" t="s">
        <v>309</v>
      </c>
      <c r="F348" s="44"/>
      <c r="G348" s="44"/>
      <c r="H348" s="44"/>
      <c r="I348" s="44"/>
      <c r="J348" s="44"/>
      <c r="K348" s="44"/>
      <c r="L348" s="44"/>
    </row>
    <row r="349" spans="1:12" ht="15" customHeight="1">
      <c r="A349" s="38" t="s">
        <v>312</v>
      </c>
      <c r="B349" s="39" t="str">
        <f>IFERROR(INDEX(Dim_Proyectos!$A:$A,MATCH(A349,Dim_Proyectos!$B:$B,0)),"")</f>
        <v>P005</v>
      </c>
      <c r="C349" s="40" t="s">
        <v>133</v>
      </c>
      <c r="D349" s="40" t="s">
        <v>226</v>
      </c>
      <c r="E349" s="41" t="s">
        <v>310</v>
      </c>
      <c r="F349" s="40"/>
      <c r="G349" s="40"/>
      <c r="H349" s="40"/>
      <c r="I349" s="40"/>
      <c r="J349" s="40"/>
      <c r="K349" s="40"/>
      <c r="L349" s="40"/>
    </row>
    <row r="350" spans="1:12" ht="15" customHeight="1">
      <c r="A350" s="38" t="s">
        <v>313</v>
      </c>
      <c r="B350" s="43" t="str">
        <f>IFERROR(INDEX(Dim_Proyectos!$A:$A,MATCH(A350,Dim_Proyectos!$B:$B,0)),"")</f>
        <v>P006</v>
      </c>
      <c r="C350" s="44" t="s">
        <v>228</v>
      </c>
      <c r="D350" s="44"/>
      <c r="E350" s="45" t="s">
        <v>228</v>
      </c>
      <c r="F350" s="44"/>
      <c r="G350" s="44"/>
      <c r="H350" s="44"/>
      <c r="I350" s="44"/>
      <c r="J350" s="44"/>
      <c r="K350" s="44"/>
      <c r="L350" s="44"/>
    </row>
    <row r="351" spans="1:12" ht="15" customHeight="1">
      <c r="A351" s="38" t="s">
        <v>313</v>
      </c>
      <c r="B351" s="39" t="str">
        <f>IFERROR(INDEX(Dim_Proyectos!$A:$A,MATCH(A351,Dim_Proyectos!$B:$B,0)),"")</f>
        <v>P006</v>
      </c>
      <c r="C351" s="40" t="s">
        <v>133</v>
      </c>
      <c r="D351" s="40" t="s">
        <v>134</v>
      </c>
      <c r="E351" s="41" t="s">
        <v>135</v>
      </c>
      <c r="F351" s="40"/>
      <c r="G351" s="40"/>
      <c r="H351" s="40"/>
      <c r="I351" s="40"/>
      <c r="J351" s="40"/>
      <c r="K351" s="40"/>
      <c r="L351" s="40"/>
    </row>
    <row r="352" spans="1:12" ht="15" customHeight="1">
      <c r="A352" s="38" t="s">
        <v>313</v>
      </c>
      <c r="B352" s="43" t="str">
        <f>IFERROR(INDEX(Dim_Proyectos!$A:$A,MATCH(A352,Dim_Proyectos!$B:$B,0)),"")</f>
        <v>P006</v>
      </c>
      <c r="C352" s="44" t="s">
        <v>133</v>
      </c>
      <c r="D352" s="44" t="s">
        <v>138</v>
      </c>
      <c r="E352" s="45" t="s">
        <v>139</v>
      </c>
      <c r="F352" s="44"/>
      <c r="G352" s="44"/>
      <c r="H352" s="44"/>
      <c r="I352" s="44"/>
      <c r="J352" s="44"/>
      <c r="K352" s="44"/>
      <c r="L352" s="44"/>
    </row>
    <row r="353" spans="1:12" ht="15" customHeight="1">
      <c r="A353" s="38" t="s">
        <v>313</v>
      </c>
      <c r="B353" s="39" t="str">
        <f>IFERROR(INDEX(Dim_Proyectos!$A:$A,MATCH(A353,Dim_Proyectos!$B:$B,0)),"")</f>
        <v>P006</v>
      </c>
      <c r="C353" s="40" t="s">
        <v>133</v>
      </c>
      <c r="D353" s="40" t="s">
        <v>140</v>
      </c>
      <c r="E353" s="41" t="s">
        <v>141</v>
      </c>
      <c r="F353" s="40"/>
      <c r="G353" s="40"/>
      <c r="H353" s="40"/>
      <c r="I353" s="40"/>
      <c r="J353" s="40"/>
      <c r="K353" s="40"/>
      <c r="L353" s="40"/>
    </row>
    <row r="354" spans="1:12" ht="20.25" customHeight="1">
      <c r="A354" s="38" t="s">
        <v>313</v>
      </c>
      <c r="B354" s="43" t="str">
        <f>IFERROR(INDEX(Dim_Proyectos!$A:$A,MATCH(A354,Dim_Proyectos!$B:$B,0)),"")</f>
        <v>P006</v>
      </c>
      <c r="C354" s="44" t="s">
        <v>133</v>
      </c>
      <c r="D354" s="44" t="s">
        <v>140</v>
      </c>
      <c r="E354" s="45" t="s">
        <v>144</v>
      </c>
      <c r="F354" s="44"/>
      <c r="G354" s="44"/>
      <c r="H354" s="44"/>
      <c r="I354" s="44"/>
      <c r="J354" s="44"/>
      <c r="K354" s="44"/>
      <c r="L354" s="44"/>
    </row>
    <row r="355" spans="1:12" ht="15" customHeight="1">
      <c r="A355" s="38" t="s">
        <v>313</v>
      </c>
      <c r="B355" s="39" t="str">
        <f>IFERROR(INDEX(Dim_Proyectos!$A:$A,MATCH(A355,Dim_Proyectos!$B:$B,0)),"")</f>
        <v>P006</v>
      </c>
      <c r="C355" s="40" t="s">
        <v>133</v>
      </c>
      <c r="D355" s="40" t="s">
        <v>140</v>
      </c>
      <c r="E355" s="41" t="s">
        <v>231</v>
      </c>
      <c r="F355" s="40"/>
      <c r="G355" s="40"/>
      <c r="H355" s="40"/>
      <c r="I355" s="40"/>
      <c r="J355" s="40"/>
      <c r="K355" s="40"/>
      <c r="L355" s="40"/>
    </row>
    <row r="356" spans="1:12" ht="15" customHeight="1">
      <c r="A356" s="38" t="s">
        <v>313</v>
      </c>
      <c r="B356" s="43" t="str">
        <f>IFERROR(INDEX(Dim_Proyectos!$A:$A,MATCH(A356,Dim_Proyectos!$B:$B,0)),"")</f>
        <v>P006</v>
      </c>
      <c r="C356" s="44" t="s">
        <v>133</v>
      </c>
      <c r="D356" s="44" t="s">
        <v>140</v>
      </c>
      <c r="E356" s="45" t="s">
        <v>232</v>
      </c>
      <c r="F356" s="44"/>
      <c r="G356" s="44"/>
      <c r="H356" s="44"/>
      <c r="I356" s="44"/>
      <c r="J356" s="44"/>
      <c r="K356" s="44"/>
      <c r="L356" s="44"/>
    </row>
    <row r="357" spans="1:12" ht="15" customHeight="1">
      <c r="A357" s="38" t="s">
        <v>313</v>
      </c>
      <c r="B357" s="39" t="str">
        <f>IFERROR(INDEX(Dim_Proyectos!$A:$A,MATCH(A357,Dim_Proyectos!$B:$B,0)),"")</f>
        <v>P006</v>
      </c>
      <c r="C357" s="40" t="s">
        <v>133</v>
      </c>
      <c r="D357" s="40" t="s">
        <v>145</v>
      </c>
      <c r="E357" s="41" t="s">
        <v>146</v>
      </c>
      <c r="F357" s="40"/>
      <c r="G357" s="40"/>
      <c r="H357" s="40"/>
      <c r="I357" s="40"/>
      <c r="J357" s="40"/>
      <c r="K357" s="40"/>
      <c r="L357" s="40"/>
    </row>
    <row r="358" spans="1:12" ht="15" customHeight="1">
      <c r="A358" s="38" t="s">
        <v>313</v>
      </c>
      <c r="B358" s="43" t="str">
        <f>IFERROR(INDEX(Dim_Proyectos!$A:$A,MATCH(A358,Dim_Proyectos!$B:$B,0)),"")</f>
        <v>P006</v>
      </c>
      <c r="C358" s="44" t="s">
        <v>133</v>
      </c>
      <c r="D358" s="44" t="s">
        <v>145</v>
      </c>
      <c r="E358" s="45" t="s">
        <v>148</v>
      </c>
      <c r="F358" s="44"/>
      <c r="G358" s="44"/>
      <c r="H358" s="44"/>
      <c r="I358" s="44"/>
      <c r="J358" s="44"/>
      <c r="K358" s="44"/>
      <c r="L358" s="44"/>
    </row>
    <row r="359" spans="1:12" ht="15" customHeight="1">
      <c r="A359" s="38" t="s">
        <v>313</v>
      </c>
      <c r="B359" s="39" t="str">
        <f>IFERROR(INDEX(Dim_Proyectos!$A:$A,MATCH(A359,Dim_Proyectos!$B:$B,0)),"")</f>
        <v>P006</v>
      </c>
      <c r="C359" s="40" t="s">
        <v>133</v>
      </c>
      <c r="D359" s="40" t="s">
        <v>150</v>
      </c>
      <c r="E359" s="41" t="s">
        <v>40</v>
      </c>
      <c r="F359" s="40"/>
      <c r="G359" s="40"/>
      <c r="H359" s="40"/>
      <c r="I359" s="40"/>
      <c r="J359" s="40"/>
      <c r="K359" s="40"/>
      <c r="L359" s="40"/>
    </row>
    <row r="360" spans="1:12" ht="15" customHeight="1">
      <c r="A360" s="38" t="s">
        <v>313</v>
      </c>
      <c r="B360" s="43" t="str">
        <f>IFERROR(INDEX(Dim_Proyectos!$A:$A,MATCH(A360,Dim_Proyectos!$B:$B,0)),"")</f>
        <v>P006</v>
      </c>
      <c r="C360" s="44" t="s">
        <v>133</v>
      </c>
      <c r="D360" s="44" t="s">
        <v>152</v>
      </c>
      <c r="E360" s="45" t="s">
        <v>233</v>
      </c>
      <c r="F360" s="44"/>
      <c r="G360" s="44"/>
      <c r="H360" s="44"/>
      <c r="I360" s="44"/>
      <c r="J360" s="44"/>
      <c r="K360" s="44"/>
      <c r="L360" s="44"/>
    </row>
    <row r="361" spans="1:12" ht="15" customHeight="1">
      <c r="A361" s="38" t="s">
        <v>313</v>
      </c>
      <c r="B361" s="39" t="str">
        <f>IFERROR(INDEX(Dim_Proyectos!$A:$A,MATCH(A361,Dim_Proyectos!$B:$B,0)),"")</f>
        <v>P006</v>
      </c>
      <c r="C361" s="40" t="s">
        <v>133</v>
      </c>
      <c r="D361" s="40" t="s">
        <v>152</v>
      </c>
      <c r="E361" s="41" t="s">
        <v>154</v>
      </c>
      <c r="F361" s="40"/>
      <c r="G361" s="40"/>
      <c r="H361" s="40"/>
      <c r="I361" s="40"/>
      <c r="J361" s="40"/>
      <c r="K361" s="40"/>
      <c r="L361" s="40"/>
    </row>
    <row r="362" spans="1:12" ht="15" customHeight="1">
      <c r="A362" s="38" t="s">
        <v>313</v>
      </c>
      <c r="B362" s="43" t="str">
        <f>IFERROR(INDEX(Dim_Proyectos!$A:$A,MATCH(A362,Dim_Proyectos!$B:$B,0)),"")</f>
        <v>P006</v>
      </c>
      <c r="C362" s="44" t="s">
        <v>133</v>
      </c>
      <c r="D362" s="44" t="s">
        <v>152</v>
      </c>
      <c r="E362" s="45" t="s">
        <v>265</v>
      </c>
      <c r="F362" s="44"/>
      <c r="G362" s="44"/>
      <c r="H362" s="44"/>
      <c r="I362" s="44"/>
      <c r="J362" s="44"/>
      <c r="K362" s="44"/>
      <c r="L362" s="44"/>
    </row>
    <row r="363" spans="1:12" ht="15" customHeight="1">
      <c r="A363" s="38" t="s">
        <v>313</v>
      </c>
      <c r="B363" s="39" t="str">
        <f>IFERROR(INDEX(Dim_Proyectos!$A:$A,MATCH(A363,Dim_Proyectos!$B:$B,0)),"")</f>
        <v>P006</v>
      </c>
      <c r="C363" s="40" t="s">
        <v>133</v>
      </c>
      <c r="D363" s="40" t="s">
        <v>152</v>
      </c>
      <c r="E363" s="41" t="s">
        <v>266</v>
      </c>
      <c r="F363" s="40"/>
      <c r="G363" s="40"/>
      <c r="H363" s="40"/>
      <c r="I363" s="40"/>
      <c r="J363" s="40"/>
      <c r="K363" s="40"/>
      <c r="L363" s="40"/>
    </row>
    <row r="364" spans="1:12" ht="15" customHeight="1">
      <c r="A364" s="38" t="s">
        <v>313</v>
      </c>
      <c r="B364" s="43" t="str">
        <f>IFERROR(INDEX(Dim_Proyectos!$A:$A,MATCH(A364,Dim_Proyectos!$B:$B,0)),"")</f>
        <v>P006</v>
      </c>
      <c r="C364" s="44" t="s">
        <v>133</v>
      </c>
      <c r="D364" s="44" t="s">
        <v>157</v>
      </c>
      <c r="E364" s="45" t="s">
        <v>234</v>
      </c>
      <c r="F364" s="44"/>
      <c r="G364" s="44"/>
      <c r="H364" s="44"/>
      <c r="I364" s="44"/>
      <c r="J364" s="44"/>
      <c r="K364" s="44"/>
      <c r="L364" s="44"/>
    </row>
    <row r="365" spans="1:12" ht="15" customHeight="1">
      <c r="A365" s="38" t="s">
        <v>313</v>
      </c>
      <c r="B365" s="39" t="str">
        <f>IFERROR(INDEX(Dim_Proyectos!$A:$A,MATCH(A365,Dim_Proyectos!$B:$B,0)),"")</f>
        <v>P006</v>
      </c>
      <c r="C365" s="40" t="s">
        <v>133</v>
      </c>
      <c r="D365" s="40" t="s">
        <v>157</v>
      </c>
      <c r="E365" s="41" t="s">
        <v>235</v>
      </c>
      <c r="F365" s="40"/>
      <c r="G365" s="40"/>
      <c r="H365" s="40"/>
      <c r="I365" s="40"/>
      <c r="J365" s="40"/>
      <c r="K365" s="40"/>
      <c r="L365" s="40"/>
    </row>
    <row r="366" spans="1:12" ht="15" customHeight="1">
      <c r="A366" s="38" t="s">
        <v>313</v>
      </c>
      <c r="B366" s="43" t="str">
        <f>IFERROR(INDEX(Dim_Proyectos!$A:$A,MATCH(A366,Dim_Proyectos!$B:$B,0)),"")</f>
        <v>P006</v>
      </c>
      <c r="C366" s="44" t="s">
        <v>133</v>
      </c>
      <c r="D366" s="44" t="s">
        <v>157</v>
      </c>
      <c r="E366" s="45" t="s">
        <v>236</v>
      </c>
      <c r="F366" s="44"/>
      <c r="G366" s="44"/>
      <c r="H366" s="44"/>
      <c r="I366" s="44"/>
      <c r="J366" s="44"/>
      <c r="K366" s="44"/>
      <c r="L366" s="44"/>
    </row>
    <row r="367" spans="1:12" ht="15" customHeight="1">
      <c r="A367" s="38" t="s">
        <v>313</v>
      </c>
      <c r="B367" s="39" t="str">
        <f>IFERROR(INDEX(Dim_Proyectos!$A:$A,MATCH(A367,Dim_Proyectos!$B:$B,0)),"")</f>
        <v>P006</v>
      </c>
      <c r="C367" s="40" t="s">
        <v>133</v>
      </c>
      <c r="D367" s="40" t="s">
        <v>157</v>
      </c>
      <c r="E367" s="41" t="s">
        <v>163</v>
      </c>
      <c r="F367" s="40"/>
      <c r="G367" s="40"/>
      <c r="H367" s="40"/>
      <c r="I367" s="40"/>
      <c r="J367" s="40"/>
      <c r="K367" s="40"/>
      <c r="L367" s="40"/>
    </row>
    <row r="368" spans="1:12" ht="15" customHeight="1">
      <c r="A368" s="38" t="s">
        <v>313</v>
      </c>
      <c r="B368" s="43" t="str">
        <f>IFERROR(INDEX(Dim_Proyectos!$A:$A,MATCH(A368,Dim_Proyectos!$B:$B,0)),"")</f>
        <v>P006</v>
      </c>
      <c r="C368" s="44" t="s">
        <v>133</v>
      </c>
      <c r="D368" s="44" t="s">
        <v>157</v>
      </c>
      <c r="E368" s="45" t="s">
        <v>237</v>
      </c>
      <c r="F368" s="44"/>
      <c r="G368" s="44"/>
      <c r="H368" s="44"/>
      <c r="I368" s="44"/>
      <c r="J368" s="44"/>
      <c r="K368" s="44"/>
      <c r="L368" s="44"/>
    </row>
    <row r="369" spans="1:12" ht="15" customHeight="1">
      <c r="A369" s="38" t="s">
        <v>313</v>
      </c>
      <c r="B369" s="39" t="str">
        <f>IFERROR(INDEX(Dim_Proyectos!$A:$A,MATCH(A369,Dim_Proyectos!$B:$B,0)),"")</f>
        <v>P006</v>
      </c>
      <c r="C369" s="40" t="s">
        <v>133</v>
      </c>
      <c r="D369" s="40" t="s">
        <v>157</v>
      </c>
      <c r="E369" s="41" t="s">
        <v>238</v>
      </c>
      <c r="F369" s="40"/>
      <c r="G369" s="40"/>
      <c r="H369" s="40"/>
      <c r="I369" s="40"/>
      <c r="J369" s="40"/>
      <c r="K369" s="40"/>
      <c r="L369" s="40"/>
    </row>
    <row r="370" spans="1:12" ht="15" customHeight="1">
      <c r="A370" s="38" t="s">
        <v>313</v>
      </c>
      <c r="B370" s="43" t="str">
        <f>IFERROR(INDEX(Dim_Proyectos!$A:$A,MATCH(A370,Dim_Proyectos!$B:$B,0)),"")</f>
        <v>P006</v>
      </c>
      <c r="C370" s="44" t="s">
        <v>133</v>
      </c>
      <c r="D370" s="44" t="s">
        <v>157</v>
      </c>
      <c r="E370" s="45" t="s">
        <v>239</v>
      </c>
      <c r="F370" s="44"/>
      <c r="G370" s="44"/>
      <c r="H370" s="44"/>
      <c r="I370" s="44"/>
      <c r="J370" s="44"/>
      <c r="K370" s="44"/>
      <c r="L370" s="44"/>
    </row>
    <row r="371" spans="1:12" ht="15" customHeight="1">
      <c r="A371" s="38" t="s">
        <v>313</v>
      </c>
      <c r="B371" s="39" t="str">
        <f>IFERROR(INDEX(Dim_Proyectos!$A:$A,MATCH(A371,Dim_Proyectos!$B:$B,0)),"")</f>
        <v>P006</v>
      </c>
      <c r="C371" s="40" t="s">
        <v>133</v>
      </c>
      <c r="D371" s="40" t="s">
        <v>157</v>
      </c>
      <c r="E371" s="41" t="s">
        <v>267</v>
      </c>
      <c r="F371" s="40"/>
      <c r="G371" s="40"/>
      <c r="H371" s="40"/>
      <c r="I371" s="40"/>
      <c r="J371" s="40"/>
      <c r="K371" s="40"/>
      <c r="L371" s="40"/>
    </row>
    <row r="372" spans="1:12" ht="15" customHeight="1">
      <c r="A372" s="38" t="s">
        <v>313</v>
      </c>
      <c r="B372" s="43" t="str">
        <f>IFERROR(INDEX(Dim_Proyectos!$A:$A,MATCH(A372,Dim_Proyectos!$B:$B,0)),"")</f>
        <v>P006</v>
      </c>
      <c r="C372" s="44" t="s">
        <v>133</v>
      </c>
      <c r="D372" s="44" t="s">
        <v>157</v>
      </c>
      <c r="E372" s="45" t="s">
        <v>268</v>
      </c>
      <c r="F372" s="44"/>
      <c r="G372" s="44"/>
      <c r="H372" s="44"/>
      <c r="I372" s="44"/>
      <c r="J372" s="44"/>
      <c r="K372" s="44"/>
      <c r="L372" s="44"/>
    </row>
    <row r="373" spans="1:12" ht="15" customHeight="1">
      <c r="A373" s="38" t="s">
        <v>313</v>
      </c>
      <c r="B373" s="39" t="str">
        <f>IFERROR(INDEX(Dim_Proyectos!$A:$A,MATCH(A373,Dim_Proyectos!$B:$B,0)),"")</f>
        <v>P006</v>
      </c>
      <c r="C373" s="40" t="s">
        <v>133</v>
      </c>
      <c r="D373" s="40" t="s">
        <v>157</v>
      </c>
      <c r="E373" s="41" t="s">
        <v>162</v>
      </c>
      <c r="F373" s="40"/>
      <c r="G373" s="40"/>
      <c r="H373" s="40"/>
      <c r="I373" s="40"/>
      <c r="J373" s="40"/>
      <c r="K373" s="40"/>
      <c r="L373" s="40"/>
    </row>
    <row r="374" spans="1:12" ht="15" customHeight="1">
      <c r="A374" s="38" t="s">
        <v>313</v>
      </c>
      <c r="B374" s="43" t="str">
        <f>IFERROR(INDEX(Dim_Proyectos!$A:$A,MATCH(A374,Dim_Proyectos!$B:$B,0)),"")</f>
        <v>P006</v>
      </c>
      <c r="C374" s="44" t="s">
        <v>133</v>
      </c>
      <c r="D374" s="44" t="s">
        <v>157</v>
      </c>
      <c r="E374" s="45" t="s">
        <v>240</v>
      </c>
      <c r="F374" s="44"/>
      <c r="G374" s="44"/>
      <c r="H374" s="44"/>
      <c r="I374" s="44"/>
      <c r="J374" s="44"/>
      <c r="K374" s="44"/>
      <c r="L374" s="44"/>
    </row>
    <row r="375" spans="1:12" ht="15" customHeight="1">
      <c r="A375" s="38" t="s">
        <v>313</v>
      </c>
      <c r="B375" s="39" t="str">
        <f>IFERROR(INDEX(Dim_Proyectos!$A:$A,MATCH(A375,Dim_Proyectos!$B:$B,0)),"")</f>
        <v>P006</v>
      </c>
      <c r="C375" s="40" t="s">
        <v>133</v>
      </c>
      <c r="D375" s="40" t="s">
        <v>157</v>
      </c>
      <c r="E375" s="41" t="s">
        <v>241</v>
      </c>
      <c r="F375" s="40"/>
      <c r="G375" s="40"/>
      <c r="H375" s="40"/>
      <c r="I375" s="40"/>
      <c r="J375" s="40"/>
      <c r="K375" s="40"/>
      <c r="L375" s="40"/>
    </row>
    <row r="376" spans="1:12" ht="15" customHeight="1">
      <c r="A376" s="38" t="s">
        <v>313</v>
      </c>
      <c r="B376" s="43" t="str">
        <f>IFERROR(INDEX(Dim_Proyectos!$A:$A,MATCH(A376,Dim_Proyectos!$B:$B,0)),"")</f>
        <v>P006</v>
      </c>
      <c r="C376" s="44" t="s">
        <v>133</v>
      </c>
      <c r="D376" s="44" t="s">
        <v>157</v>
      </c>
      <c r="E376" s="45" t="s">
        <v>269</v>
      </c>
      <c r="F376" s="44"/>
      <c r="G376" s="44"/>
      <c r="H376" s="44"/>
      <c r="I376" s="44"/>
      <c r="J376" s="44"/>
      <c r="K376" s="44"/>
      <c r="L376" s="44"/>
    </row>
    <row r="377" spans="1:12" ht="15" customHeight="1">
      <c r="A377" s="38" t="s">
        <v>313</v>
      </c>
      <c r="B377" s="39" t="str">
        <f>IFERROR(INDEX(Dim_Proyectos!$A:$A,MATCH(A377,Dim_Proyectos!$B:$B,0)),"")</f>
        <v>P006</v>
      </c>
      <c r="C377" s="40" t="s">
        <v>133</v>
      </c>
      <c r="D377" s="40" t="s">
        <v>157</v>
      </c>
      <c r="E377" s="41" t="s">
        <v>270</v>
      </c>
      <c r="F377" s="40"/>
      <c r="G377" s="40"/>
      <c r="H377" s="40"/>
      <c r="I377" s="40"/>
      <c r="J377" s="40"/>
      <c r="K377" s="40"/>
      <c r="L377" s="40"/>
    </row>
    <row r="378" spans="1:12" ht="15" customHeight="1">
      <c r="A378" s="38" t="s">
        <v>313</v>
      </c>
      <c r="B378" s="43" t="str">
        <f>IFERROR(INDEX(Dim_Proyectos!$A:$A,MATCH(A378,Dim_Proyectos!$B:$B,0)),"")</f>
        <v>P006</v>
      </c>
      <c r="C378" s="44" t="s">
        <v>133</v>
      </c>
      <c r="D378" s="44" t="s">
        <v>157</v>
      </c>
      <c r="E378" s="45" t="s">
        <v>243</v>
      </c>
      <c r="F378" s="44"/>
      <c r="G378" s="44"/>
      <c r="H378" s="44"/>
      <c r="I378" s="44"/>
      <c r="J378" s="44"/>
      <c r="K378" s="44"/>
      <c r="L378" s="44"/>
    </row>
    <row r="379" spans="1:12" ht="15" customHeight="1">
      <c r="A379" s="38" t="s">
        <v>313</v>
      </c>
      <c r="B379" s="39" t="str">
        <f>IFERROR(INDEX(Dim_Proyectos!$A:$A,MATCH(A379,Dim_Proyectos!$B:$B,0)),"")</f>
        <v>P006</v>
      </c>
      <c r="C379" s="40" t="s">
        <v>133</v>
      </c>
      <c r="D379" s="40" t="s">
        <v>157</v>
      </c>
      <c r="E379" s="41" t="s">
        <v>244</v>
      </c>
      <c r="F379" s="40"/>
      <c r="G379" s="40"/>
      <c r="H379" s="40"/>
      <c r="I379" s="40"/>
      <c r="J379" s="40"/>
      <c r="K379" s="40"/>
      <c r="L379" s="40"/>
    </row>
    <row r="380" spans="1:12" ht="15" customHeight="1">
      <c r="A380" s="38" t="s">
        <v>313</v>
      </c>
      <c r="B380" s="43" t="str">
        <f>IFERROR(INDEX(Dim_Proyectos!$A:$A,MATCH(A380,Dim_Proyectos!$B:$B,0)),"")</f>
        <v>P006</v>
      </c>
      <c r="C380" s="44" t="s">
        <v>133</v>
      </c>
      <c r="D380" s="44" t="s">
        <v>157</v>
      </c>
      <c r="E380" s="45" t="s">
        <v>245</v>
      </c>
      <c r="F380" s="44"/>
      <c r="G380" s="44"/>
      <c r="H380" s="44"/>
      <c r="I380" s="44"/>
      <c r="J380" s="44"/>
      <c r="K380" s="44"/>
      <c r="L380" s="44"/>
    </row>
    <row r="381" spans="1:12" ht="15" customHeight="1">
      <c r="A381" s="38" t="s">
        <v>313</v>
      </c>
      <c r="B381" s="39" t="str">
        <f>IFERROR(INDEX(Dim_Proyectos!$A:$A,MATCH(A381,Dim_Proyectos!$B:$B,0)),"")</f>
        <v>P006</v>
      </c>
      <c r="C381" s="40" t="s">
        <v>133</v>
      </c>
      <c r="D381" s="40" t="s">
        <v>157</v>
      </c>
      <c r="E381" s="41" t="s">
        <v>271</v>
      </c>
      <c r="F381" s="40"/>
      <c r="G381" s="40"/>
      <c r="H381" s="40"/>
      <c r="I381" s="40"/>
      <c r="J381" s="40"/>
      <c r="K381" s="40"/>
      <c r="L381" s="40"/>
    </row>
    <row r="382" spans="1:12" ht="15" customHeight="1">
      <c r="A382" s="38" t="s">
        <v>313</v>
      </c>
      <c r="B382" s="43" t="str">
        <f>IFERROR(INDEX(Dim_Proyectos!$A:$A,MATCH(A382,Dim_Proyectos!$B:$B,0)),"")</f>
        <v>P006</v>
      </c>
      <c r="C382" s="44" t="s">
        <v>133</v>
      </c>
      <c r="D382" s="44" t="s">
        <v>157</v>
      </c>
      <c r="E382" s="45" t="s">
        <v>176</v>
      </c>
      <c r="F382" s="44"/>
      <c r="G382" s="44"/>
      <c r="H382" s="44"/>
      <c r="I382" s="44"/>
      <c r="J382" s="44"/>
      <c r="K382" s="44"/>
      <c r="L382" s="44"/>
    </row>
    <row r="383" spans="1:12" ht="15" customHeight="1">
      <c r="A383" s="38" t="s">
        <v>313</v>
      </c>
      <c r="B383" s="39" t="str">
        <f>IFERROR(INDEX(Dim_Proyectos!$A:$A,MATCH(A383,Dim_Proyectos!$B:$B,0)),"")</f>
        <v>P006</v>
      </c>
      <c r="C383" s="40" t="s">
        <v>133</v>
      </c>
      <c r="D383" s="40" t="s">
        <v>157</v>
      </c>
      <c r="E383" s="41" t="s">
        <v>272</v>
      </c>
      <c r="F383" s="40"/>
      <c r="G383" s="40"/>
      <c r="H383" s="40"/>
      <c r="I383" s="40"/>
      <c r="J383" s="40"/>
      <c r="K383" s="40"/>
      <c r="L383" s="40"/>
    </row>
    <row r="384" spans="1:12" ht="15" customHeight="1">
      <c r="A384" s="38" t="s">
        <v>313</v>
      </c>
      <c r="B384" s="43" t="str">
        <f>IFERROR(INDEX(Dim_Proyectos!$A:$A,MATCH(A384,Dim_Proyectos!$B:$B,0)),"")</f>
        <v>P006</v>
      </c>
      <c r="C384" s="44" t="s">
        <v>133</v>
      </c>
      <c r="D384" s="44" t="s">
        <v>157</v>
      </c>
      <c r="E384" s="45" t="s">
        <v>273</v>
      </c>
      <c r="F384" s="44"/>
      <c r="G384" s="44"/>
      <c r="H384" s="44"/>
      <c r="I384" s="44"/>
      <c r="J384" s="44"/>
      <c r="K384" s="44"/>
      <c r="L384" s="44"/>
    </row>
    <row r="385" spans="1:12" ht="15" customHeight="1">
      <c r="A385" s="38" t="s">
        <v>313</v>
      </c>
      <c r="B385" s="39" t="str">
        <f>IFERROR(INDEX(Dim_Proyectos!$A:$A,MATCH(A385,Dim_Proyectos!$B:$B,0)),"")</f>
        <v>P006</v>
      </c>
      <c r="C385" s="40" t="s">
        <v>133</v>
      </c>
      <c r="D385" s="40" t="s">
        <v>157</v>
      </c>
      <c r="E385" s="41" t="s">
        <v>274</v>
      </c>
      <c r="F385" s="40"/>
      <c r="G385" s="40"/>
      <c r="H385" s="40"/>
      <c r="I385" s="40"/>
      <c r="J385" s="40"/>
      <c r="K385" s="40"/>
      <c r="L385" s="40"/>
    </row>
    <row r="386" spans="1:12" ht="15" customHeight="1">
      <c r="A386" s="38" t="s">
        <v>313</v>
      </c>
      <c r="B386" s="43" t="str">
        <f>IFERROR(INDEX(Dim_Proyectos!$A:$A,MATCH(A386,Dim_Proyectos!$B:$B,0)),"")</f>
        <v>P006</v>
      </c>
      <c r="C386" s="44" t="s">
        <v>133</v>
      </c>
      <c r="D386" s="44" t="s">
        <v>187</v>
      </c>
      <c r="E386" s="45" t="s">
        <v>275</v>
      </c>
      <c r="F386" s="44"/>
      <c r="G386" s="44"/>
      <c r="H386" s="44"/>
      <c r="I386" s="44"/>
      <c r="J386" s="44"/>
      <c r="K386" s="44"/>
      <c r="L386" s="44"/>
    </row>
    <row r="387" spans="1:12" ht="15" customHeight="1">
      <c r="A387" s="38" t="s">
        <v>313</v>
      </c>
      <c r="B387" s="39" t="str">
        <f>IFERROR(INDEX(Dim_Proyectos!$A:$A,MATCH(A387,Dim_Proyectos!$B:$B,0)),"")</f>
        <v>P006</v>
      </c>
      <c r="C387" s="40" t="s">
        <v>133</v>
      </c>
      <c r="D387" s="40" t="s">
        <v>187</v>
      </c>
      <c r="E387" s="41" t="s">
        <v>276</v>
      </c>
      <c r="F387" s="40"/>
      <c r="G387" s="40"/>
      <c r="H387" s="40"/>
      <c r="I387" s="40"/>
      <c r="J387" s="40"/>
      <c r="K387" s="40"/>
      <c r="L387" s="40"/>
    </row>
    <row r="388" spans="1:12" ht="15" customHeight="1">
      <c r="A388" s="38" t="s">
        <v>313</v>
      </c>
      <c r="B388" s="43" t="str">
        <f>IFERROR(INDEX(Dim_Proyectos!$A:$A,MATCH(A388,Dim_Proyectos!$B:$B,0)),"")</f>
        <v>P006</v>
      </c>
      <c r="C388" s="44" t="s">
        <v>133</v>
      </c>
      <c r="D388" s="44" t="s">
        <v>187</v>
      </c>
      <c r="E388" s="45" t="s">
        <v>277</v>
      </c>
      <c r="F388" s="44"/>
      <c r="G388" s="44"/>
      <c r="H388" s="44"/>
      <c r="I388" s="44"/>
      <c r="J388" s="44"/>
      <c r="K388" s="44"/>
      <c r="L388" s="44"/>
    </row>
    <row r="389" spans="1:12" ht="15" customHeight="1">
      <c r="A389" s="38" t="s">
        <v>313</v>
      </c>
      <c r="B389" s="39" t="str">
        <f>IFERROR(INDEX(Dim_Proyectos!$A:$A,MATCH(A389,Dim_Proyectos!$B:$B,0)),"")</f>
        <v>P006</v>
      </c>
      <c r="C389" s="40" t="s">
        <v>133</v>
      </c>
      <c r="D389" s="40" t="s">
        <v>187</v>
      </c>
      <c r="E389" s="41" t="s">
        <v>278</v>
      </c>
      <c r="F389" s="40"/>
      <c r="G389" s="40"/>
      <c r="H389" s="40"/>
      <c r="I389" s="40"/>
      <c r="J389" s="40"/>
      <c r="K389" s="40"/>
      <c r="L389" s="40"/>
    </row>
    <row r="390" spans="1:12" ht="15" customHeight="1">
      <c r="A390" s="38" t="s">
        <v>313</v>
      </c>
      <c r="B390" s="43" t="str">
        <f>IFERROR(INDEX(Dim_Proyectos!$A:$A,MATCH(A390,Dim_Proyectos!$B:$B,0)),"")</f>
        <v>P006</v>
      </c>
      <c r="C390" s="44" t="s">
        <v>133</v>
      </c>
      <c r="D390" s="44" t="s">
        <v>187</v>
      </c>
      <c r="E390" s="45" t="s">
        <v>279</v>
      </c>
      <c r="F390" s="44"/>
      <c r="G390" s="44"/>
      <c r="H390" s="44"/>
      <c r="I390" s="44"/>
      <c r="J390" s="44"/>
      <c r="K390" s="44"/>
      <c r="L390" s="44"/>
    </row>
    <row r="391" spans="1:12" ht="20.25" customHeight="1">
      <c r="A391" s="38" t="s">
        <v>313</v>
      </c>
      <c r="B391" s="39" t="str">
        <f>IFERROR(INDEX(Dim_Proyectos!$A:$A,MATCH(A391,Dim_Proyectos!$B:$B,0)),"")</f>
        <v>P006</v>
      </c>
      <c r="C391" s="40" t="s">
        <v>133</v>
      </c>
      <c r="D391" s="40" t="s">
        <v>187</v>
      </c>
      <c r="E391" s="41" t="s">
        <v>280</v>
      </c>
      <c r="F391" s="40"/>
      <c r="G391" s="40"/>
      <c r="H391" s="40"/>
      <c r="I391" s="40"/>
      <c r="J391" s="40"/>
      <c r="K391" s="40"/>
      <c r="L391" s="40"/>
    </row>
    <row r="392" spans="1:12" ht="15" customHeight="1">
      <c r="A392" s="38" t="s">
        <v>313</v>
      </c>
      <c r="B392" s="43" t="str">
        <f>IFERROR(INDEX(Dim_Proyectos!$A:$A,MATCH(A392,Dim_Proyectos!$B:$B,0)),"")</f>
        <v>P006</v>
      </c>
      <c r="C392" s="44" t="s">
        <v>133</v>
      </c>
      <c r="D392" s="44" t="s">
        <v>187</v>
      </c>
      <c r="E392" s="45" t="s">
        <v>250</v>
      </c>
      <c r="F392" s="44"/>
      <c r="G392" s="44"/>
      <c r="H392" s="44"/>
      <c r="I392" s="44"/>
      <c r="J392" s="44"/>
      <c r="K392" s="44"/>
      <c r="L392" s="44"/>
    </row>
    <row r="393" spans="1:12" ht="15" customHeight="1">
      <c r="A393" s="38" t="s">
        <v>313</v>
      </c>
      <c r="B393" s="39" t="str">
        <f>IFERROR(INDEX(Dim_Proyectos!$A:$A,MATCH(A393,Dim_Proyectos!$B:$B,0)),"")</f>
        <v>P006</v>
      </c>
      <c r="C393" s="40" t="s">
        <v>133</v>
      </c>
      <c r="D393" s="40" t="s">
        <v>187</v>
      </c>
      <c r="E393" s="41" t="s">
        <v>281</v>
      </c>
      <c r="F393" s="40"/>
      <c r="G393" s="40"/>
      <c r="H393" s="40"/>
      <c r="I393" s="40"/>
      <c r="J393" s="40"/>
      <c r="K393" s="40"/>
      <c r="L393" s="40"/>
    </row>
    <row r="394" spans="1:12" ht="20.25" customHeight="1">
      <c r="A394" s="38" t="s">
        <v>313</v>
      </c>
      <c r="B394" s="43" t="str">
        <f>IFERROR(INDEX(Dim_Proyectos!$A:$A,MATCH(A394,Dim_Proyectos!$B:$B,0)),"")</f>
        <v>P006</v>
      </c>
      <c r="C394" s="44" t="s">
        <v>133</v>
      </c>
      <c r="D394" s="44" t="s">
        <v>187</v>
      </c>
      <c r="E394" s="45" t="s">
        <v>282</v>
      </c>
      <c r="F394" s="44"/>
      <c r="G394" s="44"/>
      <c r="H394" s="44"/>
      <c r="I394" s="44"/>
      <c r="J394" s="44"/>
      <c r="K394" s="44"/>
      <c r="L394" s="44"/>
    </row>
    <row r="395" spans="1:12" ht="15" customHeight="1">
      <c r="A395" s="38" t="s">
        <v>313</v>
      </c>
      <c r="B395" s="39" t="str">
        <f>IFERROR(INDEX(Dim_Proyectos!$A:$A,MATCH(A395,Dim_Proyectos!$B:$B,0)),"")</f>
        <v>P006</v>
      </c>
      <c r="C395" s="40" t="s">
        <v>133</v>
      </c>
      <c r="D395" s="40" t="s">
        <v>192</v>
      </c>
      <c r="E395" s="41" t="s">
        <v>283</v>
      </c>
      <c r="F395" s="40"/>
      <c r="G395" s="40"/>
      <c r="H395" s="40"/>
      <c r="I395" s="40"/>
      <c r="J395" s="40"/>
      <c r="K395" s="40"/>
      <c r="L395" s="40"/>
    </row>
    <row r="396" spans="1:12" ht="15" customHeight="1">
      <c r="A396" s="38" t="s">
        <v>313</v>
      </c>
      <c r="B396" s="43" t="str">
        <f>IFERROR(INDEX(Dim_Proyectos!$A:$A,MATCH(A396,Dim_Proyectos!$B:$B,0)),"")</f>
        <v>P006</v>
      </c>
      <c r="C396" s="44" t="s">
        <v>133</v>
      </c>
      <c r="D396" s="44" t="s">
        <v>192</v>
      </c>
      <c r="E396" s="45" t="s">
        <v>284</v>
      </c>
      <c r="F396" s="44"/>
      <c r="G396" s="44"/>
      <c r="H396" s="44"/>
      <c r="I396" s="44"/>
      <c r="J396" s="44"/>
      <c r="K396" s="44"/>
      <c r="L396" s="44"/>
    </row>
    <row r="397" spans="1:12" ht="15" customHeight="1">
      <c r="A397" s="38" t="s">
        <v>313</v>
      </c>
      <c r="B397" s="39" t="str">
        <f>IFERROR(INDEX(Dim_Proyectos!$A:$A,MATCH(A397,Dim_Proyectos!$B:$B,0)),"")</f>
        <v>P006</v>
      </c>
      <c r="C397" s="40" t="s">
        <v>133</v>
      </c>
      <c r="D397" s="40" t="s">
        <v>192</v>
      </c>
      <c r="E397" s="41" t="s">
        <v>285</v>
      </c>
      <c r="F397" s="40"/>
      <c r="G397" s="40"/>
      <c r="H397" s="40"/>
      <c r="I397" s="40"/>
      <c r="J397" s="40"/>
      <c r="K397" s="40"/>
      <c r="L397" s="40"/>
    </row>
    <row r="398" spans="1:12" ht="15" customHeight="1">
      <c r="A398" s="38" t="s">
        <v>313</v>
      </c>
      <c r="B398" s="43" t="str">
        <f>IFERROR(INDEX(Dim_Proyectos!$A:$A,MATCH(A398,Dim_Proyectos!$B:$B,0)),"")</f>
        <v>P006</v>
      </c>
      <c r="C398" s="44" t="s">
        <v>133</v>
      </c>
      <c r="D398" s="44" t="s">
        <v>192</v>
      </c>
      <c r="E398" s="45" t="s">
        <v>286</v>
      </c>
      <c r="F398" s="44"/>
      <c r="G398" s="44"/>
      <c r="H398" s="44"/>
      <c r="I398" s="44"/>
      <c r="J398" s="44"/>
      <c r="K398" s="44"/>
      <c r="L398" s="44"/>
    </row>
    <row r="399" spans="1:12" ht="15" customHeight="1">
      <c r="A399" s="38" t="s">
        <v>313</v>
      </c>
      <c r="B399" s="39" t="str">
        <f>IFERROR(INDEX(Dim_Proyectos!$A:$A,MATCH(A399,Dim_Proyectos!$B:$B,0)),"")</f>
        <v>P006</v>
      </c>
      <c r="C399" s="40" t="s">
        <v>133</v>
      </c>
      <c r="D399" s="40" t="s">
        <v>200</v>
      </c>
      <c r="E399" s="41" t="s">
        <v>287</v>
      </c>
      <c r="F399" s="40"/>
      <c r="G399" s="40"/>
      <c r="H399" s="40"/>
      <c r="I399" s="40"/>
      <c r="J399" s="40"/>
      <c r="K399" s="40"/>
      <c r="L399" s="40"/>
    </row>
    <row r="400" spans="1:12" ht="15" customHeight="1">
      <c r="A400" s="38" t="s">
        <v>313</v>
      </c>
      <c r="B400" s="43" t="str">
        <f>IFERROR(INDEX(Dim_Proyectos!$A:$A,MATCH(A400,Dim_Proyectos!$B:$B,0)),"")</f>
        <v>P006</v>
      </c>
      <c r="C400" s="44" t="s">
        <v>133</v>
      </c>
      <c r="D400" s="44" t="s">
        <v>200</v>
      </c>
      <c r="E400" s="45" t="s">
        <v>288</v>
      </c>
      <c r="F400" s="44"/>
      <c r="G400" s="44"/>
      <c r="H400" s="44"/>
      <c r="I400" s="44"/>
      <c r="J400" s="44"/>
      <c r="K400" s="44"/>
      <c r="L400" s="44"/>
    </row>
    <row r="401" spans="1:12" ht="20.25" customHeight="1">
      <c r="A401" s="38" t="s">
        <v>313</v>
      </c>
      <c r="B401" s="39" t="str">
        <f>IFERROR(INDEX(Dim_Proyectos!$A:$A,MATCH(A401,Dim_Proyectos!$B:$B,0)),"")</f>
        <v>P006</v>
      </c>
      <c r="C401" s="40" t="s">
        <v>133</v>
      </c>
      <c r="D401" s="40" t="s">
        <v>200</v>
      </c>
      <c r="E401" s="41" t="s">
        <v>289</v>
      </c>
      <c r="F401" s="40"/>
      <c r="G401" s="40"/>
      <c r="H401" s="40"/>
      <c r="I401" s="40"/>
      <c r="J401" s="40"/>
      <c r="K401" s="40"/>
      <c r="L401" s="40"/>
    </row>
    <row r="402" spans="1:12" ht="15" customHeight="1">
      <c r="A402" s="38" t="s">
        <v>313</v>
      </c>
      <c r="B402" s="43" t="str">
        <f>IFERROR(INDEX(Dim_Proyectos!$A:$A,MATCH(A402,Dim_Proyectos!$B:$B,0)),"")</f>
        <v>P006</v>
      </c>
      <c r="C402" s="44" t="s">
        <v>133</v>
      </c>
      <c r="D402" s="44" t="s">
        <v>202</v>
      </c>
      <c r="E402" s="45" t="s">
        <v>290</v>
      </c>
      <c r="F402" s="44"/>
      <c r="G402" s="44"/>
      <c r="H402" s="44"/>
      <c r="I402" s="44"/>
      <c r="J402" s="44"/>
      <c r="K402" s="44"/>
      <c r="L402" s="44"/>
    </row>
    <row r="403" spans="1:12" ht="20.25" customHeight="1">
      <c r="A403" s="38" t="s">
        <v>313</v>
      </c>
      <c r="B403" s="39" t="str">
        <f>IFERROR(INDEX(Dim_Proyectos!$A:$A,MATCH(A403,Dim_Proyectos!$B:$B,0)),"")</f>
        <v>P006</v>
      </c>
      <c r="C403" s="40" t="s">
        <v>133</v>
      </c>
      <c r="D403" s="40" t="s">
        <v>202</v>
      </c>
      <c r="E403" s="41" t="s">
        <v>291</v>
      </c>
      <c r="F403" s="40"/>
      <c r="G403" s="40"/>
      <c r="H403" s="40"/>
      <c r="I403" s="40"/>
      <c r="J403" s="40"/>
      <c r="K403" s="40"/>
      <c r="L403" s="40"/>
    </row>
    <row r="404" spans="1:12" ht="15" customHeight="1">
      <c r="A404" s="38" t="s">
        <v>313</v>
      </c>
      <c r="B404" s="43" t="str">
        <f>IFERROR(INDEX(Dim_Proyectos!$A:$A,MATCH(A404,Dim_Proyectos!$B:$B,0)),"")</f>
        <v>P006</v>
      </c>
      <c r="C404" s="44" t="s">
        <v>133</v>
      </c>
      <c r="D404" s="44" t="s">
        <v>204</v>
      </c>
      <c r="E404" s="45" t="s">
        <v>292</v>
      </c>
      <c r="F404" s="44"/>
      <c r="G404" s="44"/>
      <c r="H404" s="44"/>
      <c r="I404" s="44"/>
      <c r="J404" s="44"/>
      <c r="K404" s="44"/>
      <c r="L404" s="44"/>
    </row>
    <row r="405" spans="1:12" ht="15" customHeight="1">
      <c r="A405" s="38" t="s">
        <v>313</v>
      </c>
      <c r="B405" s="39" t="str">
        <f>IFERROR(INDEX(Dim_Proyectos!$A:$A,MATCH(A405,Dim_Proyectos!$B:$B,0)),"")</f>
        <v>P006</v>
      </c>
      <c r="C405" s="40" t="s">
        <v>133</v>
      </c>
      <c r="D405" s="40" t="s">
        <v>204</v>
      </c>
      <c r="E405" s="41" t="s">
        <v>293</v>
      </c>
      <c r="F405" s="40"/>
      <c r="G405" s="40"/>
      <c r="H405" s="40"/>
      <c r="I405" s="40"/>
      <c r="J405" s="40"/>
      <c r="K405" s="40"/>
      <c r="L405" s="40"/>
    </row>
    <row r="406" spans="1:12" ht="15" customHeight="1">
      <c r="A406" s="38" t="s">
        <v>313</v>
      </c>
      <c r="B406" s="43" t="str">
        <f>IFERROR(INDEX(Dim_Proyectos!$A:$A,MATCH(A406,Dim_Proyectos!$B:$B,0)),"")</f>
        <v>P006</v>
      </c>
      <c r="C406" s="44" t="s">
        <v>133</v>
      </c>
      <c r="D406" s="44" t="s">
        <v>206</v>
      </c>
      <c r="E406" s="45" t="s">
        <v>294</v>
      </c>
      <c r="F406" s="44"/>
      <c r="G406" s="44"/>
      <c r="H406" s="44"/>
      <c r="I406" s="44"/>
      <c r="J406" s="44"/>
      <c r="K406" s="44"/>
      <c r="L406" s="44"/>
    </row>
    <row r="407" spans="1:12" ht="15" customHeight="1">
      <c r="A407" s="38" t="s">
        <v>313</v>
      </c>
      <c r="B407" s="39" t="str">
        <f>IFERROR(INDEX(Dim_Proyectos!$A:$A,MATCH(A407,Dim_Proyectos!$B:$B,0)),"")</f>
        <v>P006</v>
      </c>
      <c r="C407" s="40" t="s">
        <v>133</v>
      </c>
      <c r="D407" s="40" t="s">
        <v>206</v>
      </c>
      <c r="E407" s="41" t="s">
        <v>210</v>
      </c>
      <c r="F407" s="40"/>
      <c r="G407" s="40"/>
      <c r="H407" s="40"/>
      <c r="I407" s="40"/>
      <c r="J407" s="40"/>
      <c r="K407" s="40"/>
      <c r="L407" s="40"/>
    </row>
    <row r="408" spans="1:12" ht="15" customHeight="1">
      <c r="A408" s="38" t="s">
        <v>313</v>
      </c>
      <c r="B408" s="43" t="str">
        <f>IFERROR(INDEX(Dim_Proyectos!$A:$A,MATCH(A408,Dim_Proyectos!$B:$B,0)),"")</f>
        <v>P006</v>
      </c>
      <c r="C408" s="44" t="s">
        <v>133</v>
      </c>
      <c r="D408" s="44" t="s">
        <v>206</v>
      </c>
      <c r="E408" s="45" t="s">
        <v>295</v>
      </c>
      <c r="F408" s="44"/>
      <c r="G408" s="44"/>
      <c r="H408" s="44"/>
      <c r="I408" s="44"/>
      <c r="J408" s="44"/>
      <c r="K408" s="44"/>
      <c r="L408" s="44"/>
    </row>
    <row r="409" spans="1:12" ht="15" customHeight="1">
      <c r="A409" s="38" t="s">
        <v>313</v>
      </c>
      <c r="B409" s="39" t="str">
        <f>IFERROR(INDEX(Dim_Proyectos!$A:$A,MATCH(A409,Dim_Proyectos!$B:$B,0)),"")</f>
        <v>P006</v>
      </c>
      <c r="C409" s="40" t="s">
        <v>133</v>
      </c>
      <c r="D409" s="40" t="s">
        <v>206</v>
      </c>
      <c r="E409" s="41" t="s">
        <v>296</v>
      </c>
      <c r="F409" s="40"/>
      <c r="G409" s="40"/>
      <c r="H409" s="40"/>
      <c r="I409" s="40"/>
      <c r="J409" s="40"/>
      <c r="K409" s="40"/>
      <c r="L409" s="40"/>
    </row>
    <row r="410" spans="1:12" ht="20.25" customHeight="1">
      <c r="A410" s="38" t="s">
        <v>313</v>
      </c>
      <c r="B410" s="43" t="str">
        <f>IFERROR(INDEX(Dim_Proyectos!$A:$A,MATCH(A410,Dim_Proyectos!$B:$B,0)),"")</f>
        <v>P006</v>
      </c>
      <c r="C410" s="44" t="s">
        <v>133</v>
      </c>
      <c r="D410" s="44" t="s">
        <v>206</v>
      </c>
      <c r="E410" s="45" t="s">
        <v>297</v>
      </c>
      <c r="F410" s="44"/>
      <c r="G410" s="44"/>
      <c r="H410" s="44"/>
      <c r="I410" s="44"/>
      <c r="J410" s="44"/>
      <c r="K410" s="44"/>
      <c r="L410" s="44"/>
    </row>
    <row r="411" spans="1:12" ht="15" customHeight="1">
      <c r="A411" s="38" t="s">
        <v>313</v>
      </c>
      <c r="B411" s="39" t="str">
        <f>IFERROR(INDEX(Dim_Proyectos!$A:$A,MATCH(A411,Dim_Proyectos!$B:$B,0)),"")</f>
        <v>P006</v>
      </c>
      <c r="C411" s="40" t="s">
        <v>133</v>
      </c>
      <c r="D411" s="40" t="s">
        <v>206</v>
      </c>
      <c r="E411" s="41" t="s">
        <v>298</v>
      </c>
      <c r="F411" s="40"/>
      <c r="G411" s="40"/>
      <c r="H411" s="40"/>
      <c r="I411" s="40"/>
      <c r="J411" s="40"/>
      <c r="K411" s="40"/>
      <c r="L411" s="40"/>
    </row>
    <row r="412" spans="1:12" ht="15" customHeight="1">
      <c r="A412" s="38" t="s">
        <v>313</v>
      </c>
      <c r="B412" s="43" t="str">
        <f>IFERROR(INDEX(Dim_Proyectos!$A:$A,MATCH(A412,Dim_Proyectos!$B:$B,0)),"")</f>
        <v>P006</v>
      </c>
      <c r="C412" s="44" t="s">
        <v>133</v>
      </c>
      <c r="D412" s="44" t="s">
        <v>206</v>
      </c>
      <c r="E412" s="45" t="s">
        <v>260</v>
      </c>
      <c r="F412" s="44"/>
      <c r="G412" s="44"/>
      <c r="H412" s="44"/>
      <c r="I412" s="44"/>
      <c r="J412" s="44"/>
      <c r="K412" s="44"/>
      <c r="L412" s="44"/>
    </row>
    <row r="413" spans="1:12" ht="15" customHeight="1">
      <c r="A413" s="38" t="s">
        <v>313</v>
      </c>
      <c r="B413" s="39" t="str">
        <f>IFERROR(INDEX(Dim_Proyectos!$A:$A,MATCH(A413,Dim_Proyectos!$B:$B,0)),"")</f>
        <v>P006</v>
      </c>
      <c r="C413" s="40" t="s">
        <v>133</v>
      </c>
      <c r="D413" s="40" t="s">
        <v>206</v>
      </c>
      <c r="E413" s="41" t="s">
        <v>262</v>
      </c>
      <c r="F413" s="40"/>
      <c r="G413" s="40"/>
      <c r="H413" s="40"/>
      <c r="I413" s="40"/>
      <c r="J413" s="40"/>
      <c r="K413" s="40"/>
      <c r="L413" s="40"/>
    </row>
    <row r="414" spans="1:12" ht="15" customHeight="1">
      <c r="A414" s="38" t="s">
        <v>313</v>
      </c>
      <c r="B414" s="43" t="str">
        <f>IFERROR(INDEX(Dim_Proyectos!$A:$A,MATCH(A414,Dim_Proyectos!$B:$B,0)),"")</f>
        <v>P006</v>
      </c>
      <c r="C414" s="44" t="s">
        <v>133</v>
      </c>
      <c r="D414" s="44" t="s">
        <v>206</v>
      </c>
      <c r="E414" s="45" t="s">
        <v>299</v>
      </c>
      <c r="F414" s="44"/>
      <c r="G414" s="44"/>
      <c r="H414" s="44"/>
      <c r="I414" s="44"/>
      <c r="J414" s="44"/>
      <c r="K414" s="44"/>
      <c r="L414" s="44"/>
    </row>
    <row r="415" spans="1:12" ht="15" customHeight="1">
      <c r="A415" s="38" t="s">
        <v>313</v>
      </c>
      <c r="B415" s="39" t="str">
        <f>IFERROR(INDEX(Dim_Proyectos!$A:$A,MATCH(A415,Dim_Proyectos!$B:$B,0)),"")</f>
        <v>P006</v>
      </c>
      <c r="C415" s="40" t="s">
        <v>133</v>
      </c>
      <c r="D415" s="40" t="s">
        <v>206</v>
      </c>
      <c r="E415" s="41" t="s">
        <v>300</v>
      </c>
      <c r="F415" s="40"/>
      <c r="G415" s="40"/>
      <c r="H415" s="40"/>
      <c r="I415" s="40"/>
      <c r="J415" s="40"/>
      <c r="K415" s="40"/>
      <c r="L415" s="40"/>
    </row>
    <row r="416" spans="1:12" ht="15" customHeight="1">
      <c r="A416" s="38" t="s">
        <v>313</v>
      </c>
      <c r="B416" s="43" t="str">
        <f>IFERROR(INDEX(Dim_Proyectos!$A:$A,MATCH(A416,Dim_Proyectos!$B:$B,0)),"")</f>
        <v>P006</v>
      </c>
      <c r="C416" s="44" t="s">
        <v>133</v>
      </c>
      <c r="D416" s="44" t="s">
        <v>206</v>
      </c>
      <c r="E416" s="45" t="s">
        <v>301</v>
      </c>
      <c r="F416" s="44"/>
      <c r="G416" s="44"/>
      <c r="H416" s="44"/>
      <c r="I416" s="44"/>
      <c r="J416" s="44"/>
      <c r="K416" s="44"/>
      <c r="L416" s="44"/>
    </row>
    <row r="417" spans="1:12" ht="15" customHeight="1">
      <c r="A417" s="38" t="s">
        <v>313</v>
      </c>
      <c r="B417" s="39" t="str">
        <f>IFERROR(INDEX(Dim_Proyectos!$A:$A,MATCH(A417,Dim_Proyectos!$B:$B,0)),"")</f>
        <v>P006</v>
      </c>
      <c r="C417" s="40" t="s">
        <v>133</v>
      </c>
      <c r="D417" s="40" t="s">
        <v>206</v>
      </c>
      <c r="E417" s="41" t="s">
        <v>302</v>
      </c>
      <c r="F417" s="40"/>
      <c r="G417" s="40"/>
      <c r="H417" s="40"/>
      <c r="I417" s="40"/>
      <c r="J417" s="40"/>
      <c r="K417" s="40"/>
      <c r="L417" s="40"/>
    </row>
    <row r="418" spans="1:12" ht="15" customHeight="1">
      <c r="A418" s="38" t="s">
        <v>313</v>
      </c>
      <c r="B418" s="43" t="str">
        <f>IFERROR(INDEX(Dim_Proyectos!$A:$A,MATCH(A418,Dim_Proyectos!$B:$B,0)),"")</f>
        <v>P006</v>
      </c>
      <c r="C418" s="44" t="s">
        <v>133</v>
      </c>
      <c r="D418" s="44" t="s">
        <v>206</v>
      </c>
      <c r="E418" s="45" t="s">
        <v>303</v>
      </c>
      <c r="F418" s="44"/>
      <c r="G418" s="44"/>
      <c r="H418" s="44"/>
      <c r="I418" s="44"/>
      <c r="J418" s="44"/>
      <c r="K418" s="44"/>
      <c r="L418" s="44"/>
    </row>
    <row r="419" spans="1:12" ht="15" customHeight="1">
      <c r="A419" s="38" t="s">
        <v>313</v>
      </c>
      <c r="B419" s="39" t="str">
        <f>IFERROR(INDEX(Dim_Proyectos!$A:$A,MATCH(A419,Dim_Proyectos!$B:$B,0)),"")</f>
        <v>P006</v>
      </c>
      <c r="C419" s="40" t="s">
        <v>133</v>
      </c>
      <c r="D419" s="40" t="s">
        <v>206</v>
      </c>
      <c r="E419" s="41" t="s">
        <v>304</v>
      </c>
      <c r="F419" s="40"/>
      <c r="G419" s="40"/>
      <c r="H419" s="40"/>
      <c r="I419" s="40"/>
      <c r="J419" s="40"/>
      <c r="K419" s="40"/>
      <c r="L419" s="40"/>
    </row>
    <row r="420" spans="1:12" ht="15" customHeight="1">
      <c r="A420" s="38" t="s">
        <v>313</v>
      </c>
      <c r="B420" s="43" t="str">
        <f>IFERROR(INDEX(Dim_Proyectos!$A:$A,MATCH(A420,Dim_Proyectos!$B:$B,0)),"")</f>
        <v>P006</v>
      </c>
      <c r="C420" s="44" t="s">
        <v>133</v>
      </c>
      <c r="D420" s="44" t="s">
        <v>206</v>
      </c>
      <c r="E420" s="45" t="s">
        <v>305</v>
      </c>
      <c r="F420" s="44"/>
      <c r="G420" s="44"/>
      <c r="H420" s="44"/>
      <c r="I420" s="44"/>
      <c r="J420" s="44"/>
      <c r="K420" s="44"/>
      <c r="L420" s="44"/>
    </row>
    <row r="421" spans="1:12" ht="15" customHeight="1">
      <c r="A421" s="38" t="s">
        <v>313</v>
      </c>
      <c r="B421" s="39" t="str">
        <f>IFERROR(INDEX(Dim_Proyectos!$A:$A,MATCH(A421,Dim_Proyectos!$B:$B,0)),"")</f>
        <v>P006</v>
      </c>
      <c r="C421" s="40" t="s">
        <v>133</v>
      </c>
      <c r="D421" s="40" t="s">
        <v>206</v>
      </c>
      <c r="E421" s="41" t="s">
        <v>306</v>
      </c>
      <c r="F421" s="40"/>
      <c r="G421" s="40"/>
      <c r="H421" s="40"/>
      <c r="I421" s="40"/>
      <c r="J421" s="40"/>
      <c r="K421" s="40"/>
      <c r="L421" s="40"/>
    </row>
    <row r="422" spans="1:12" ht="15" customHeight="1">
      <c r="A422" s="38" t="s">
        <v>313</v>
      </c>
      <c r="B422" s="43" t="str">
        <f>IFERROR(INDEX(Dim_Proyectos!$A:$A,MATCH(A422,Dim_Proyectos!$B:$B,0)),"")</f>
        <v>P006</v>
      </c>
      <c r="C422" s="44" t="s">
        <v>133</v>
      </c>
      <c r="D422" s="44" t="s">
        <v>206</v>
      </c>
      <c r="E422" s="45" t="s">
        <v>307</v>
      </c>
      <c r="F422" s="44"/>
      <c r="G422" s="44"/>
      <c r="H422" s="44"/>
      <c r="I422" s="44"/>
      <c r="J422" s="44"/>
      <c r="K422" s="44"/>
      <c r="L422" s="44"/>
    </row>
    <row r="423" spans="1:12" ht="15" customHeight="1">
      <c r="A423" s="38" t="s">
        <v>313</v>
      </c>
      <c r="B423" s="39" t="str">
        <f>IFERROR(INDEX(Dim_Proyectos!$A:$A,MATCH(A423,Dim_Proyectos!$B:$B,0)),"")</f>
        <v>P006</v>
      </c>
      <c r="C423" s="40" t="s">
        <v>133</v>
      </c>
      <c r="D423" s="40" t="s">
        <v>206</v>
      </c>
      <c r="E423" s="41" t="s">
        <v>308</v>
      </c>
      <c r="F423" s="40"/>
      <c r="G423" s="40"/>
      <c r="H423" s="40"/>
      <c r="I423" s="40"/>
      <c r="J423" s="40"/>
      <c r="K423" s="40"/>
      <c r="L423" s="40"/>
    </row>
    <row r="424" spans="1:12" ht="15" customHeight="1">
      <c r="A424" s="38" t="s">
        <v>313</v>
      </c>
      <c r="B424" s="43" t="str">
        <f>IFERROR(INDEX(Dim_Proyectos!$A:$A,MATCH(A424,Dim_Proyectos!$B:$B,0)),"")</f>
        <v>P006</v>
      </c>
      <c r="C424" s="44" t="s">
        <v>133</v>
      </c>
      <c r="D424" s="44" t="s">
        <v>226</v>
      </c>
      <c r="E424" s="45" t="s">
        <v>309</v>
      </c>
      <c r="F424" s="44"/>
      <c r="G424" s="44"/>
      <c r="H424" s="44"/>
      <c r="I424" s="44"/>
      <c r="J424" s="44"/>
      <c r="K424" s="44"/>
      <c r="L424" s="44"/>
    </row>
    <row r="425" spans="1:12" ht="15" customHeight="1">
      <c r="A425" s="38" t="s">
        <v>313</v>
      </c>
      <c r="B425" s="39" t="str">
        <f>IFERROR(INDEX(Dim_Proyectos!$A:$A,MATCH(A425,Dim_Proyectos!$B:$B,0)),"")</f>
        <v>P006</v>
      </c>
      <c r="C425" s="40" t="s">
        <v>133</v>
      </c>
      <c r="D425" s="40" t="s">
        <v>226</v>
      </c>
      <c r="E425" s="41" t="s">
        <v>310</v>
      </c>
      <c r="F425" s="40"/>
      <c r="G425" s="40"/>
      <c r="H425" s="40"/>
      <c r="I425" s="40"/>
      <c r="J425" s="40"/>
      <c r="K425" s="40"/>
      <c r="L425" s="40"/>
    </row>
    <row r="426" spans="1:12" ht="15" customHeight="1">
      <c r="A426" s="38" t="s">
        <v>132</v>
      </c>
      <c r="B426" s="43" t="str">
        <f>IFERROR(INDEX(Dim_Proyectos!$A:$A,MATCH(A426,Dim_Proyectos!$B:$B,0)),"")</f>
        <v>P001</v>
      </c>
      <c r="C426" s="44" t="s">
        <v>314</v>
      </c>
      <c r="D426" s="44" t="s">
        <v>229</v>
      </c>
      <c r="E426" s="45" t="s">
        <v>315</v>
      </c>
      <c r="F426" s="44"/>
      <c r="G426" s="44"/>
      <c r="H426" s="44"/>
      <c r="I426" s="44" t="s">
        <v>151</v>
      </c>
      <c r="J426" s="46">
        <v>46112</v>
      </c>
      <c r="K426" s="44"/>
      <c r="L426" s="44" t="s">
        <v>316</v>
      </c>
    </row>
    <row r="427" spans="1:12" ht="15" customHeight="1">
      <c r="A427" s="38" t="s">
        <v>132</v>
      </c>
      <c r="B427" s="39" t="str">
        <f>IFERROR(INDEX(Dim_Proyectos!$A:$A,MATCH(A427,Dim_Proyectos!$B:$B,0)),"")</f>
        <v>P001</v>
      </c>
      <c r="C427" s="40" t="s">
        <v>314</v>
      </c>
      <c r="D427" s="40" t="s">
        <v>229</v>
      </c>
      <c r="E427" s="41" t="s">
        <v>317</v>
      </c>
      <c r="F427" s="40"/>
      <c r="G427" s="40"/>
      <c r="H427" s="40" t="s">
        <v>318</v>
      </c>
      <c r="I427" s="40" t="s">
        <v>208</v>
      </c>
      <c r="J427" s="42">
        <v>46056</v>
      </c>
      <c r="K427" s="40"/>
      <c r="L427" s="40" t="s">
        <v>319</v>
      </c>
    </row>
    <row r="428" spans="1:12" ht="15" customHeight="1">
      <c r="A428" s="38" t="s">
        <v>132</v>
      </c>
      <c r="B428" s="43" t="str">
        <f>IFERROR(INDEX(Dim_Proyectos!$A:$A,MATCH(A428,Dim_Proyectos!$B:$B,0)),"")</f>
        <v>P001</v>
      </c>
      <c r="C428" s="44" t="s">
        <v>314</v>
      </c>
      <c r="D428" s="44" t="s">
        <v>229</v>
      </c>
      <c r="E428" s="45" t="s">
        <v>320</v>
      </c>
      <c r="F428" s="44"/>
      <c r="G428" s="44"/>
      <c r="H428" s="44" t="s">
        <v>318</v>
      </c>
      <c r="I428" s="44" t="s">
        <v>151</v>
      </c>
      <c r="J428" s="46">
        <v>46056</v>
      </c>
      <c r="K428" s="44"/>
      <c r="L428" s="44" t="s">
        <v>321</v>
      </c>
    </row>
    <row r="429" spans="1:12" ht="15" customHeight="1">
      <c r="A429" s="38" t="s">
        <v>132</v>
      </c>
      <c r="B429" s="39" t="str">
        <f>IFERROR(INDEX(Dim_Proyectos!$A:$A,MATCH(A429,Dim_Proyectos!$B:$B,0)),"")</f>
        <v>P001</v>
      </c>
      <c r="C429" s="40" t="s">
        <v>314</v>
      </c>
      <c r="D429" s="40" t="s">
        <v>229</v>
      </c>
      <c r="E429" s="41" t="s">
        <v>322</v>
      </c>
      <c r="F429" s="40"/>
      <c r="G429" s="40"/>
      <c r="H429" s="40" t="s">
        <v>318</v>
      </c>
      <c r="I429" s="40" t="s">
        <v>151</v>
      </c>
      <c r="J429" s="42">
        <v>46056</v>
      </c>
      <c r="K429" s="40"/>
      <c r="L429" s="40" t="s">
        <v>323</v>
      </c>
    </row>
    <row r="430" spans="1:12" ht="15" customHeight="1">
      <c r="A430" s="38" t="s">
        <v>132</v>
      </c>
      <c r="B430" s="43" t="str">
        <f>IFERROR(INDEX(Dim_Proyectos!$A:$A,MATCH(A430,Dim_Proyectos!$B:$B,0)),"")</f>
        <v>P001</v>
      </c>
      <c r="C430" s="44" t="s">
        <v>314</v>
      </c>
      <c r="D430" s="44" t="s">
        <v>229</v>
      </c>
      <c r="E430" s="45" t="s">
        <v>324</v>
      </c>
      <c r="F430" s="44"/>
      <c r="G430" s="44"/>
      <c r="H430" s="44" t="s">
        <v>318</v>
      </c>
      <c r="I430" s="44" t="s">
        <v>151</v>
      </c>
      <c r="J430" s="46">
        <v>46056</v>
      </c>
      <c r="K430" s="44"/>
      <c r="L430" s="44" t="s">
        <v>323</v>
      </c>
    </row>
    <row r="431" spans="1:12" ht="15" customHeight="1">
      <c r="A431" s="38" t="s">
        <v>264</v>
      </c>
      <c r="B431" s="39" t="str">
        <f>IFERROR(INDEX(Dim_Proyectos!$A:$A,MATCH(A431,Dim_Proyectos!$B:$B,0)),"")</f>
        <v>P003</v>
      </c>
      <c r="C431" s="40" t="s">
        <v>314</v>
      </c>
      <c r="D431" s="40" t="s">
        <v>229</v>
      </c>
      <c r="E431" s="41" t="s">
        <v>315</v>
      </c>
      <c r="F431" s="40"/>
      <c r="G431" s="40"/>
      <c r="H431" s="40" t="s">
        <v>325</v>
      </c>
      <c r="I431" s="40" t="s">
        <v>151</v>
      </c>
      <c r="J431" s="42">
        <v>46148</v>
      </c>
      <c r="K431" s="40"/>
      <c r="L431" s="40" t="s">
        <v>326</v>
      </c>
    </row>
    <row r="432" spans="1:12" ht="15" customHeight="1">
      <c r="A432" s="38" t="s">
        <v>264</v>
      </c>
      <c r="B432" s="43" t="str">
        <f>IFERROR(INDEX(Dim_Proyectos!$A:$A,MATCH(A432,Dim_Proyectos!$B:$B,0)),"")</f>
        <v>P003</v>
      </c>
      <c r="C432" s="44" t="s">
        <v>314</v>
      </c>
      <c r="D432" s="44" t="s">
        <v>229</v>
      </c>
      <c r="E432" s="45" t="s">
        <v>317</v>
      </c>
      <c r="F432" s="44"/>
      <c r="G432" s="44"/>
      <c r="H432" s="44" t="s">
        <v>325</v>
      </c>
      <c r="I432" s="44" t="s">
        <v>151</v>
      </c>
      <c r="J432" s="46">
        <v>46148</v>
      </c>
      <c r="K432" s="44"/>
      <c r="L432" s="44"/>
    </row>
    <row r="433" spans="1:12" ht="15" customHeight="1">
      <c r="A433" s="38" t="s">
        <v>264</v>
      </c>
      <c r="B433" s="39" t="str">
        <f>IFERROR(INDEX(Dim_Proyectos!$A:$A,MATCH(A433,Dim_Proyectos!$B:$B,0)),"")</f>
        <v>P003</v>
      </c>
      <c r="C433" s="40" t="s">
        <v>314</v>
      </c>
      <c r="D433" s="40" t="s">
        <v>229</v>
      </c>
      <c r="E433" s="41" t="s">
        <v>320</v>
      </c>
      <c r="F433" s="40"/>
      <c r="G433" s="40"/>
      <c r="H433" s="40" t="s">
        <v>325</v>
      </c>
      <c r="I433" s="40" t="s">
        <v>151</v>
      </c>
      <c r="J433" s="42">
        <v>46148</v>
      </c>
      <c r="K433" s="40"/>
      <c r="L433" s="40"/>
    </row>
    <row r="434" spans="1:12" ht="15" customHeight="1">
      <c r="A434" s="38" t="s">
        <v>264</v>
      </c>
      <c r="B434" s="43" t="str">
        <f>IFERROR(INDEX(Dim_Proyectos!$A:$A,MATCH(A434,Dim_Proyectos!$B:$B,0)),"")</f>
        <v>P003</v>
      </c>
      <c r="C434" s="44" t="s">
        <v>314</v>
      </c>
      <c r="D434" s="44" t="s">
        <v>229</v>
      </c>
      <c r="E434" s="45" t="s">
        <v>322</v>
      </c>
      <c r="F434" s="44"/>
      <c r="G434" s="44"/>
      <c r="H434" s="44" t="s">
        <v>325</v>
      </c>
      <c r="I434" s="44" t="s">
        <v>151</v>
      </c>
      <c r="J434" s="46">
        <v>46148</v>
      </c>
      <c r="K434" s="44"/>
      <c r="L434" s="44"/>
    </row>
    <row r="435" spans="1:12" ht="15" customHeight="1">
      <c r="A435" s="38" t="s">
        <v>264</v>
      </c>
      <c r="B435" s="39" t="str">
        <f>IFERROR(INDEX(Dim_Proyectos!$A:$A,MATCH(A435,Dim_Proyectos!$B:$B,0)),"")</f>
        <v>P003</v>
      </c>
      <c r="C435" s="40" t="s">
        <v>314</v>
      </c>
      <c r="D435" s="40" t="s">
        <v>229</v>
      </c>
      <c r="E435" s="41" t="s">
        <v>324</v>
      </c>
      <c r="F435" s="40"/>
      <c r="G435" s="40"/>
      <c r="H435" s="40" t="s">
        <v>325</v>
      </c>
      <c r="I435" s="40" t="s">
        <v>151</v>
      </c>
      <c r="J435" s="42">
        <v>46148</v>
      </c>
      <c r="K435" s="40"/>
      <c r="L435" s="40"/>
    </row>
    <row r="436" spans="1:12" ht="15" customHeight="1">
      <c r="A436" s="38" t="s">
        <v>227</v>
      </c>
      <c r="B436" s="43" t="str">
        <f>IFERROR(INDEX(Dim_Proyectos!$A:$A,MATCH(A436,Dim_Proyectos!$B:$B,0)),"")</f>
        <v>P002</v>
      </c>
      <c r="C436" s="44" t="s">
        <v>314</v>
      </c>
      <c r="D436" s="44" t="s">
        <v>229</v>
      </c>
      <c r="E436" s="45" t="s">
        <v>315</v>
      </c>
      <c r="F436" s="44"/>
      <c r="G436" s="44"/>
      <c r="H436" s="44" t="s">
        <v>327</v>
      </c>
      <c r="I436" s="44" t="s">
        <v>151</v>
      </c>
      <c r="J436" s="46">
        <v>46084</v>
      </c>
      <c r="K436" s="44"/>
      <c r="L436" s="44" t="s">
        <v>151</v>
      </c>
    </row>
    <row r="437" spans="1:12" ht="15" customHeight="1">
      <c r="A437" s="38" t="s">
        <v>227</v>
      </c>
      <c r="B437" s="39" t="str">
        <f>IFERROR(INDEX(Dim_Proyectos!$A:$A,MATCH(A437,Dim_Proyectos!$B:$B,0)),"")</f>
        <v>P002</v>
      </c>
      <c r="C437" s="40" t="s">
        <v>314</v>
      </c>
      <c r="D437" s="40" t="s">
        <v>229</v>
      </c>
      <c r="E437" s="41" t="s">
        <v>317</v>
      </c>
      <c r="F437" s="40"/>
      <c r="G437" s="40"/>
      <c r="H437" s="40" t="s">
        <v>327</v>
      </c>
      <c r="I437" s="40" t="s">
        <v>151</v>
      </c>
      <c r="J437" s="42">
        <v>46084</v>
      </c>
      <c r="K437" s="40"/>
      <c r="L437" s="40"/>
    </row>
    <row r="438" spans="1:12" ht="15" customHeight="1">
      <c r="A438" s="38" t="s">
        <v>227</v>
      </c>
      <c r="B438" s="43" t="str">
        <f>IFERROR(INDEX(Dim_Proyectos!$A:$A,MATCH(A438,Dim_Proyectos!$B:$B,0)),"")</f>
        <v>P002</v>
      </c>
      <c r="C438" s="44" t="s">
        <v>314</v>
      </c>
      <c r="D438" s="44" t="s">
        <v>229</v>
      </c>
      <c r="E438" s="45" t="s">
        <v>320</v>
      </c>
      <c r="F438" s="44"/>
      <c r="G438" s="44"/>
      <c r="H438" s="44" t="s">
        <v>327</v>
      </c>
      <c r="I438" s="44" t="s">
        <v>151</v>
      </c>
      <c r="J438" s="46">
        <v>46084</v>
      </c>
      <c r="K438" s="44"/>
      <c r="L438" s="44" t="s">
        <v>151</v>
      </c>
    </row>
    <row r="439" spans="1:12" ht="15" customHeight="1">
      <c r="A439" s="38" t="s">
        <v>227</v>
      </c>
      <c r="B439" s="39" t="str">
        <f>IFERROR(INDEX(Dim_Proyectos!$A:$A,MATCH(A439,Dim_Proyectos!$B:$B,0)),"")</f>
        <v>P002</v>
      </c>
      <c r="C439" s="40" t="s">
        <v>314</v>
      </c>
      <c r="D439" s="40" t="s">
        <v>229</v>
      </c>
      <c r="E439" s="41" t="s">
        <v>322</v>
      </c>
      <c r="F439" s="40"/>
      <c r="G439" s="40"/>
      <c r="H439" s="40" t="s">
        <v>327</v>
      </c>
      <c r="I439" s="40" t="s">
        <v>151</v>
      </c>
      <c r="J439" s="42">
        <v>46084</v>
      </c>
      <c r="K439" s="40"/>
      <c r="L439" s="40"/>
    </row>
    <row r="440" spans="1:12" ht="15" customHeight="1">
      <c r="A440" s="38" t="s">
        <v>227</v>
      </c>
      <c r="B440" s="43" t="str">
        <f>IFERROR(INDEX(Dim_Proyectos!$A:$A,MATCH(A440,Dim_Proyectos!$B:$B,0)),"")</f>
        <v>P002</v>
      </c>
      <c r="C440" s="44" t="s">
        <v>314</v>
      </c>
      <c r="D440" s="44" t="s">
        <v>229</v>
      </c>
      <c r="E440" s="45" t="s">
        <v>324</v>
      </c>
      <c r="F440" s="44"/>
      <c r="G440" s="44"/>
      <c r="H440" s="44"/>
      <c r="I440" s="44" t="s">
        <v>136</v>
      </c>
      <c r="J440" s="46">
        <v>46126</v>
      </c>
      <c r="K440" s="44"/>
      <c r="L440" s="44" t="s">
        <v>328</v>
      </c>
    </row>
    <row r="441" spans="1:12" ht="15" customHeight="1">
      <c r="A441" s="38" t="s">
        <v>312</v>
      </c>
      <c r="B441" s="39" t="str">
        <f>IFERROR(INDEX(Dim_Proyectos!$A:$A,MATCH(A441,Dim_Proyectos!$B:$B,0)),"")</f>
        <v>P005</v>
      </c>
      <c r="C441" s="40" t="s">
        <v>314</v>
      </c>
      <c r="D441" s="40" t="s">
        <v>229</v>
      </c>
      <c r="E441" s="41" t="s">
        <v>315</v>
      </c>
      <c r="F441" s="40"/>
      <c r="G441" s="40"/>
      <c r="H441" s="40" t="s">
        <v>329</v>
      </c>
      <c r="I441" s="40" t="s">
        <v>147</v>
      </c>
      <c r="J441" s="42">
        <v>46156</v>
      </c>
      <c r="K441" s="40"/>
      <c r="L441" s="40" t="s">
        <v>330</v>
      </c>
    </row>
    <row r="442" spans="1:12" ht="15" customHeight="1">
      <c r="A442" s="38" t="s">
        <v>312</v>
      </c>
      <c r="B442" s="43" t="str">
        <f>IFERROR(INDEX(Dim_Proyectos!$A:$A,MATCH(A442,Dim_Proyectos!$B:$B,0)),"")</f>
        <v>P005</v>
      </c>
      <c r="C442" s="44" t="s">
        <v>314</v>
      </c>
      <c r="D442" s="44" t="s">
        <v>229</v>
      </c>
      <c r="E442" s="45" t="s">
        <v>317</v>
      </c>
      <c r="F442" s="44"/>
      <c r="G442" s="44"/>
      <c r="H442" s="44" t="s">
        <v>331</v>
      </c>
      <c r="I442" s="44" t="s">
        <v>147</v>
      </c>
      <c r="J442" s="46">
        <v>46148</v>
      </c>
      <c r="K442" s="44"/>
      <c r="L442" s="44" t="s">
        <v>332</v>
      </c>
    </row>
    <row r="443" spans="1:12" ht="15" customHeight="1">
      <c r="A443" s="38" t="s">
        <v>312</v>
      </c>
      <c r="B443" s="39" t="str">
        <f>IFERROR(INDEX(Dim_Proyectos!$A:$A,MATCH(A443,Dim_Proyectos!$B:$B,0)),"")</f>
        <v>P005</v>
      </c>
      <c r="C443" s="40" t="s">
        <v>314</v>
      </c>
      <c r="D443" s="40" t="s">
        <v>229</v>
      </c>
      <c r="E443" s="41" t="s">
        <v>320</v>
      </c>
      <c r="F443" s="40"/>
      <c r="G443" s="40"/>
      <c r="H443" s="40" t="s">
        <v>329</v>
      </c>
      <c r="I443" s="40" t="s">
        <v>147</v>
      </c>
      <c r="J443" s="42">
        <v>46128</v>
      </c>
      <c r="K443" s="40"/>
      <c r="L443" s="40"/>
    </row>
    <row r="444" spans="1:12" ht="15" customHeight="1">
      <c r="A444" s="38" t="s">
        <v>312</v>
      </c>
      <c r="B444" s="43" t="str">
        <f>IFERROR(INDEX(Dim_Proyectos!$A:$A,MATCH(A444,Dim_Proyectos!$B:$B,0)),"")</f>
        <v>P005</v>
      </c>
      <c r="C444" s="44" t="s">
        <v>314</v>
      </c>
      <c r="D444" s="44" t="s">
        <v>229</v>
      </c>
      <c r="E444" s="45" t="s">
        <v>322</v>
      </c>
      <c r="F444" s="44"/>
      <c r="G444" s="44"/>
      <c r="H444" s="44" t="s">
        <v>329</v>
      </c>
      <c r="I444" s="44" t="s">
        <v>147</v>
      </c>
      <c r="J444" s="46">
        <v>46149</v>
      </c>
      <c r="K444" s="44"/>
      <c r="L444" s="44"/>
    </row>
    <row r="445" spans="1:12" ht="15" customHeight="1">
      <c r="A445" s="38" t="s">
        <v>312</v>
      </c>
      <c r="B445" s="39" t="str">
        <f>IFERROR(INDEX(Dim_Proyectos!$A:$A,MATCH(A445,Dim_Proyectos!$B:$B,0)),"")</f>
        <v>P005</v>
      </c>
      <c r="C445" s="40" t="s">
        <v>314</v>
      </c>
      <c r="D445" s="40" t="s">
        <v>229</v>
      </c>
      <c r="E445" s="41" t="s">
        <v>324</v>
      </c>
      <c r="F445" s="40"/>
      <c r="G445" s="40"/>
      <c r="H445" s="40" t="s">
        <v>331</v>
      </c>
      <c r="I445" s="40" t="s">
        <v>147</v>
      </c>
      <c r="J445" s="42">
        <v>46128</v>
      </c>
      <c r="K445" s="40"/>
      <c r="L445" s="40"/>
    </row>
    <row r="446" spans="1:12" ht="15" customHeight="1">
      <c r="A446" s="38" t="s">
        <v>311</v>
      </c>
      <c r="B446" s="43" t="str">
        <f>IFERROR(INDEX(Dim_Proyectos!$A:$A,MATCH(A446,Dim_Proyectos!$B:$B,0)),"")</f>
        <v>P004</v>
      </c>
      <c r="C446" s="44" t="s">
        <v>314</v>
      </c>
      <c r="D446" s="44" t="s">
        <v>229</v>
      </c>
      <c r="E446" s="45" t="s">
        <v>315</v>
      </c>
      <c r="F446" s="44"/>
      <c r="G446" s="44"/>
      <c r="H446" s="44"/>
      <c r="I446" s="44" t="s">
        <v>151</v>
      </c>
      <c r="J446" s="46">
        <v>45947</v>
      </c>
      <c r="K446" s="44"/>
      <c r="L446" s="44"/>
    </row>
    <row r="447" spans="1:12" ht="15" customHeight="1">
      <c r="A447" s="38" t="s">
        <v>311</v>
      </c>
      <c r="B447" s="39" t="str">
        <f>IFERROR(INDEX(Dim_Proyectos!$A:$A,MATCH(A447,Dim_Proyectos!$B:$B,0)),"")</f>
        <v>P004</v>
      </c>
      <c r="C447" s="40" t="s">
        <v>314</v>
      </c>
      <c r="D447" s="40" t="s">
        <v>229</v>
      </c>
      <c r="E447" s="41" t="s">
        <v>317</v>
      </c>
      <c r="F447" s="40"/>
      <c r="G447" s="40"/>
      <c r="H447" s="40" t="s">
        <v>333</v>
      </c>
      <c r="I447" s="40" t="s">
        <v>147</v>
      </c>
      <c r="J447" s="42">
        <v>46149</v>
      </c>
      <c r="K447" s="40"/>
      <c r="L447" s="40" t="s">
        <v>332</v>
      </c>
    </row>
    <row r="448" spans="1:12" ht="15" customHeight="1">
      <c r="A448" s="38" t="s">
        <v>311</v>
      </c>
      <c r="B448" s="43" t="str">
        <f>IFERROR(INDEX(Dim_Proyectos!$A:$A,MATCH(A448,Dim_Proyectos!$B:$B,0)),"")</f>
        <v>P004</v>
      </c>
      <c r="C448" s="44" t="s">
        <v>314</v>
      </c>
      <c r="D448" s="44" t="s">
        <v>229</v>
      </c>
      <c r="E448" s="45" t="s">
        <v>320</v>
      </c>
      <c r="F448" s="44"/>
      <c r="G448" s="44"/>
      <c r="H448" s="44" t="s">
        <v>333</v>
      </c>
      <c r="I448" s="44" t="s">
        <v>147</v>
      </c>
      <c r="J448" s="46">
        <v>46139</v>
      </c>
      <c r="K448" s="44"/>
      <c r="L448" s="44"/>
    </row>
    <row r="449" spans="1:12" ht="15" customHeight="1">
      <c r="A449" s="38" t="s">
        <v>311</v>
      </c>
      <c r="B449" s="39" t="str">
        <f>IFERROR(INDEX(Dim_Proyectos!$A:$A,MATCH(A449,Dim_Proyectos!$B:$B,0)),"")</f>
        <v>P004</v>
      </c>
      <c r="C449" s="40" t="s">
        <v>314</v>
      </c>
      <c r="D449" s="40" t="s">
        <v>229</v>
      </c>
      <c r="E449" s="41" t="s">
        <v>322</v>
      </c>
      <c r="F449" s="40"/>
      <c r="G449" s="40"/>
      <c r="H449" s="40" t="s">
        <v>334</v>
      </c>
      <c r="I449" s="40" t="s">
        <v>151</v>
      </c>
      <c r="J449" s="42">
        <v>46154</v>
      </c>
      <c r="K449" s="40"/>
      <c r="L449" s="40" t="s">
        <v>335</v>
      </c>
    </row>
    <row r="450" spans="1:12" ht="15" customHeight="1">
      <c r="A450" s="38" t="s">
        <v>311</v>
      </c>
      <c r="B450" s="43" t="str">
        <f>IFERROR(INDEX(Dim_Proyectos!$A:$A,MATCH(A450,Dim_Proyectos!$B:$B,0)),"")</f>
        <v>P004</v>
      </c>
      <c r="C450" s="44" t="s">
        <v>314</v>
      </c>
      <c r="D450" s="44" t="s">
        <v>229</v>
      </c>
      <c r="E450" s="45" t="s">
        <v>324</v>
      </c>
      <c r="F450" s="44"/>
      <c r="G450" s="44"/>
      <c r="H450" s="44" t="s">
        <v>334</v>
      </c>
      <c r="I450" s="44" t="s">
        <v>151</v>
      </c>
      <c r="J450" s="46">
        <v>46154</v>
      </c>
      <c r="K450" s="44"/>
      <c r="L450" s="44" t="s">
        <v>335</v>
      </c>
    </row>
    <row r="451" spans="1:12" ht="15" customHeight="1">
      <c r="A451" s="38" t="s">
        <v>313</v>
      </c>
      <c r="B451" s="39" t="str">
        <f>IFERROR(INDEX(Dim_Proyectos!$A:$A,MATCH(A451,Dim_Proyectos!$B:$B,0)),"")</f>
        <v>P006</v>
      </c>
      <c r="C451" s="40" t="s">
        <v>314</v>
      </c>
      <c r="D451" s="40" t="s">
        <v>229</v>
      </c>
      <c r="E451" s="41" t="s">
        <v>315</v>
      </c>
      <c r="F451" s="40"/>
      <c r="G451" s="40"/>
      <c r="H451" s="40" t="s">
        <v>336</v>
      </c>
      <c r="I451" s="40" t="s">
        <v>151</v>
      </c>
      <c r="J451" s="42">
        <v>46101</v>
      </c>
      <c r="K451" s="40"/>
      <c r="L451" s="40"/>
    </row>
    <row r="452" spans="1:12" ht="15" customHeight="1">
      <c r="A452" s="38" t="s">
        <v>313</v>
      </c>
      <c r="B452" s="43" t="str">
        <f>IFERROR(INDEX(Dim_Proyectos!$A:$A,MATCH(A452,Dim_Proyectos!$B:$B,0)),"")</f>
        <v>P006</v>
      </c>
      <c r="C452" s="44" t="s">
        <v>314</v>
      </c>
      <c r="D452" s="44" t="s">
        <v>229</v>
      </c>
      <c r="E452" s="45" t="s">
        <v>317</v>
      </c>
      <c r="F452" s="44"/>
      <c r="G452" s="44"/>
      <c r="H452" s="44" t="s">
        <v>337</v>
      </c>
      <c r="I452" s="44" t="s">
        <v>136</v>
      </c>
      <c r="J452" s="46">
        <v>46146</v>
      </c>
      <c r="K452" s="44"/>
      <c r="L452" s="44"/>
    </row>
    <row r="453" spans="1:12" ht="15" customHeight="1">
      <c r="A453" s="38" t="s">
        <v>313</v>
      </c>
      <c r="B453" s="39" t="str">
        <f>IFERROR(INDEX(Dim_Proyectos!$A:$A,MATCH(A453,Dim_Proyectos!$B:$B,0)),"")</f>
        <v>P006</v>
      </c>
      <c r="C453" s="40" t="s">
        <v>314</v>
      </c>
      <c r="D453" s="40" t="s">
        <v>229</v>
      </c>
      <c r="E453" s="41" t="s">
        <v>320</v>
      </c>
      <c r="F453" s="40"/>
      <c r="G453" s="40"/>
      <c r="H453" s="40" t="s">
        <v>337</v>
      </c>
      <c r="I453" s="40" t="s">
        <v>136</v>
      </c>
      <c r="J453" s="42">
        <v>46146</v>
      </c>
      <c r="K453" s="40"/>
      <c r="L453" s="40"/>
    </row>
    <row r="454" spans="1:12" ht="15" customHeight="1">
      <c r="A454" s="38" t="s">
        <v>313</v>
      </c>
      <c r="B454" s="43" t="str">
        <f>IFERROR(INDEX(Dim_Proyectos!$A:$A,MATCH(A454,Dim_Proyectos!$B:$B,0)),"")</f>
        <v>P006</v>
      </c>
      <c r="C454" s="44" t="s">
        <v>314</v>
      </c>
      <c r="D454" s="44" t="s">
        <v>229</v>
      </c>
      <c r="E454" s="45" t="s">
        <v>322</v>
      </c>
      <c r="F454" s="44"/>
      <c r="G454" s="44"/>
      <c r="H454" s="44"/>
      <c r="I454" s="44"/>
      <c r="J454" s="44"/>
      <c r="K454" s="44"/>
      <c r="L454" s="44" t="s">
        <v>338</v>
      </c>
    </row>
    <row r="455" spans="1:12" ht="15" customHeight="1">
      <c r="A455" s="38" t="s">
        <v>313</v>
      </c>
      <c r="B455" s="39" t="str">
        <f>IFERROR(INDEX(Dim_Proyectos!$A:$A,MATCH(A455,Dim_Proyectos!$B:$B,0)),"")</f>
        <v>P006</v>
      </c>
      <c r="C455" s="40" t="s">
        <v>314</v>
      </c>
      <c r="D455" s="40" t="s">
        <v>229</v>
      </c>
      <c r="E455" s="41" t="s">
        <v>324</v>
      </c>
      <c r="F455" s="40"/>
      <c r="G455" s="40"/>
      <c r="H455" s="40"/>
      <c r="I455" s="40"/>
      <c r="J455" s="40"/>
      <c r="K455" s="40"/>
      <c r="L455" s="40" t="s">
        <v>338</v>
      </c>
    </row>
    <row r="456" spans="1:12" ht="15" customHeight="1">
      <c r="A456" s="38" t="s">
        <v>339</v>
      </c>
      <c r="B456" s="43" t="str">
        <f>IFERROR(INDEX(Dim_Proyectos!$A:$A,MATCH(A456,Dim_Proyectos!$B:$B,0)),"")</f>
        <v>P013</v>
      </c>
      <c r="C456" s="44" t="s">
        <v>314</v>
      </c>
      <c r="D456" s="44" t="s">
        <v>229</v>
      </c>
      <c r="E456" s="45" t="s">
        <v>315</v>
      </c>
      <c r="F456" s="44"/>
      <c r="G456" s="44"/>
      <c r="H456" s="44"/>
      <c r="I456" s="44"/>
      <c r="J456" s="44"/>
      <c r="K456" s="44"/>
      <c r="L456" s="44" t="s">
        <v>340</v>
      </c>
    </row>
    <row r="457" spans="1:12" ht="15" customHeight="1">
      <c r="A457" s="38" t="s">
        <v>339</v>
      </c>
      <c r="B457" s="39" t="str">
        <f>IFERROR(INDEX(Dim_Proyectos!$A:$A,MATCH(A457,Dim_Proyectos!$B:$B,0)),"")</f>
        <v>P013</v>
      </c>
      <c r="C457" s="40" t="s">
        <v>314</v>
      </c>
      <c r="D457" s="40" t="s">
        <v>229</v>
      </c>
      <c r="E457" s="41" t="s">
        <v>317</v>
      </c>
      <c r="F457" s="40"/>
      <c r="G457" s="40"/>
      <c r="H457" s="40"/>
      <c r="I457" s="40"/>
      <c r="J457" s="40"/>
      <c r="K457" s="40"/>
      <c r="L457" s="40" t="s">
        <v>340</v>
      </c>
    </row>
    <row r="458" spans="1:12" ht="15" customHeight="1">
      <c r="A458" s="38" t="s">
        <v>339</v>
      </c>
      <c r="B458" s="43" t="str">
        <f>IFERROR(INDEX(Dim_Proyectos!$A:$A,MATCH(A458,Dim_Proyectos!$B:$B,0)),"")</f>
        <v>P013</v>
      </c>
      <c r="C458" s="44" t="s">
        <v>314</v>
      </c>
      <c r="D458" s="44" t="s">
        <v>229</v>
      </c>
      <c r="E458" s="45" t="s">
        <v>320</v>
      </c>
      <c r="F458" s="44"/>
      <c r="G458" s="44"/>
      <c r="H458" s="44"/>
      <c r="I458" s="44"/>
      <c r="J458" s="44"/>
      <c r="K458" s="44"/>
      <c r="L458" s="44" t="s">
        <v>340</v>
      </c>
    </row>
    <row r="459" spans="1:12" ht="15" customHeight="1">
      <c r="A459" s="38" t="s">
        <v>339</v>
      </c>
      <c r="B459" s="39" t="str">
        <f>IFERROR(INDEX(Dim_Proyectos!$A:$A,MATCH(A459,Dim_Proyectos!$B:$B,0)),"")</f>
        <v>P013</v>
      </c>
      <c r="C459" s="40" t="s">
        <v>314</v>
      </c>
      <c r="D459" s="40" t="s">
        <v>229</v>
      </c>
      <c r="E459" s="41" t="s">
        <v>322</v>
      </c>
      <c r="F459" s="40"/>
      <c r="G459" s="40"/>
      <c r="H459" s="40"/>
      <c r="I459" s="40"/>
      <c r="J459" s="40"/>
      <c r="K459" s="40"/>
      <c r="L459" s="40" t="s">
        <v>340</v>
      </c>
    </row>
    <row r="460" spans="1:12" ht="15" customHeight="1">
      <c r="A460" s="38" t="s">
        <v>339</v>
      </c>
      <c r="B460" s="43" t="str">
        <f>IFERROR(INDEX(Dim_Proyectos!$A:$A,MATCH(A460,Dim_Proyectos!$B:$B,0)),"")</f>
        <v>P013</v>
      </c>
      <c r="C460" s="44" t="s">
        <v>314</v>
      </c>
      <c r="D460" s="44" t="s">
        <v>229</v>
      </c>
      <c r="E460" s="45" t="s">
        <v>324</v>
      </c>
      <c r="F460" s="44"/>
      <c r="G460" s="44"/>
      <c r="H460" s="44"/>
      <c r="I460" s="44"/>
      <c r="J460" s="44"/>
      <c r="K460" s="44"/>
      <c r="L460" s="44" t="s">
        <v>340</v>
      </c>
    </row>
    <row r="461" spans="1:12" ht="15" customHeight="1">
      <c r="B461" s="49" t="str">
        <f>IFERROR(INDEX(Dim_Proyectos!$A:$A,MATCH(A461,Dim_Proyectos!$B:$B,0)),"")</f>
        <v/>
      </c>
    </row>
    <row r="462" spans="1:12" ht="15" customHeight="1">
      <c r="B462" s="49" t="str">
        <f>IFERROR(INDEX(Dim_Proyectos!$A:$A,MATCH(A462,Dim_Proyectos!$B:$B,0)),"")</f>
        <v/>
      </c>
    </row>
    <row r="463" spans="1:12" ht="15" customHeight="1">
      <c r="B463" s="49" t="str">
        <f>IFERROR(INDEX(Dim_Proyectos!$A:$A,MATCH(A463,Dim_Proyectos!$B:$B,0)),"")</f>
        <v/>
      </c>
    </row>
    <row r="464" spans="1:12" ht="15" customHeight="1">
      <c r="B464" s="49" t="str">
        <f>IFERROR(INDEX(Dim_Proyectos!$A:$A,MATCH(A464,Dim_Proyectos!$B:$B,0)),"")</f>
        <v/>
      </c>
    </row>
    <row r="465" spans="2:2" ht="15" customHeight="1">
      <c r="B465" s="49" t="str">
        <f>IFERROR(INDEX(Dim_Proyectos!$A:$A,MATCH(A465,Dim_Proyectos!$B:$B,0)),"")</f>
        <v/>
      </c>
    </row>
    <row r="466" spans="2:2" ht="15" customHeight="1">
      <c r="B466" s="49" t="str">
        <f>IFERROR(INDEX(Dim_Proyectos!$A:$A,MATCH(A466,Dim_Proyectos!$B:$B,0)),"")</f>
        <v/>
      </c>
    </row>
    <row r="467" spans="2:2" ht="15" customHeight="1">
      <c r="B467" s="49" t="str">
        <f>IFERROR(INDEX(Dim_Proyectos!$A:$A,MATCH(A467,Dim_Proyectos!$B:$B,0)),"")</f>
        <v/>
      </c>
    </row>
    <row r="468" spans="2:2" ht="15" customHeight="1">
      <c r="B468" s="49" t="str">
        <f>IFERROR(INDEX(Dim_Proyectos!$A:$A,MATCH(A468,Dim_Proyectos!$B:$B,0)),"")</f>
        <v/>
      </c>
    </row>
    <row r="469" spans="2:2" ht="15" customHeight="1">
      <c r="B469" s="49" t="str">
        <f>IFERROR(INDEX(Dim_Proyectos!$A:$A,MATCH(A469,Dim_Proyectos!$B:$B,0)),"")</f>
        <v/>
      </c>
    </row>
    <row r="470" spans="2:2" ht="15" customHeight="1">
      <c r="B470" s="49" t="str">
        <f>IFERROR(INDEX(Dim_Proyectos!$A:$A,MATCH(A470,Dim_Proyectos!$B:$B,0)),"")</f>
        <v/>
      </c>
    </row>
    <row r="471" spans="2:2" ht="15" customHeight="1">
      <c r="B471" s="49" t="str">
        <f>IFERROR(INDEX(Dim_Proyectos!$A:$A,MATCH(A471,Dim_Proyectos!$B:$B,0)),"")</f>
        <v/>
      </c>
    </row>
    <row r="472" spans="2:2" ht="15" customHeight="1">
      <c r="B472" s="49" t="str">
        <f>IFERROR(INDEX(Dim_Proyectos!$A:$A,MATCH(A472,Dim_Proyectos!$B:$B,0)),"")</f>
        <v/>
      </c>
    </row>
    <row r="473" spans="2:2" ht="15" customHeight="1">
      <c r="B473" s="49" t="str">
        <f>IFERROR(INDEX(Dim_Proyectos!$A:$A,MATCH(A473,Dim_Proyectos!$B:$B,0)),"")</f>
        <v/>
      </c>
    </row>
    <row r="474" spans="2:2" ht="15" customHeight="1">
      <c r="B474" s="49" t="str">
        <f>IFERROR(INDEX(Dim_Proyectos!$A:$A,MATCH(A474,Dim_Proyectos!$B:$B,0)),"")</f>
        <v/>
      </c>
    </row>
    <row r="475" spans="2:2" ht="15" customHeight="1">
      <c r="B475" s="49" t="str">
        <f>IFERROR(INDEX(Dim_Proyectos!$A:$A,MATCH(A475,Dim_Proyectos!$B:$B,0)),"")</f>
        <v/>
      </c>
    </row>
    <row r="476" spans="2:2" ht="15" customHeight="1">
      <c r="B476" s="49" t="str">
        <f>IFERROR(INDEX(Dim_Proyectos!$A:$A,MATCH(A476,Dim_Proyectos!$B:$B,0)),"")</f>
        <v/>
      </c>
    </row>
    <row r="477" spans="2:2" ht="15" customHeight="1">
      <c r="B477" s="49" t="str">
        <f>IFERROR(INDEX(Dim_Proyectos!$A:$A,MATCH(A477,Dim_Proyectos!$B:$B,0)),"")</f>
        <v/>
      </c>
    </row>
    <row r="478" spans="2:2" ht="15" customHeight="1">
      <c r="B478" s="49" t="str">
        <f>IFERROR(INDEX(Dim_Proyectos!$A:$A,MATCH(A478,Dim_Proyectos!$B:$B,0)),"")</f>
        <v/>
      </c>
    </row>
    <row r="479" spans="2:2" ht="15" customHeight="1">
      <c r="B479" s="49" t="str">
        <f>IFERROR(INDEX(Dim_Proyectos!$A:$A,MATCH(A479,Dim_Proyectos!$B:$B,0)),"")</f>
        <v/>
      </c>
    </row>
    <row r="480" spans="2:2" ht="15" customHeight="1">
      <c r="B480" s="49" t="str">
        <f>IFERROR(INDEX(Dim_Proyectos!$A:$A,MATCH(A480,Dim_Proyectos!$B:$B,0)),"")</f>
        <v/>
      </c>
    </row>
    <row r="481" spans="2:2" ht="15" customHeight="1">
      <c r="B481" s="49" t="str">
        <f>IFERROR(INDEX(Dim_Proyectos!$A:$A,MATCH(A481,Dim_Proyectos!$B:$B,0)),"")</f>
        <v/>
      </c>
    </row>
    <row r="482" spans="2:2" ht="15" customHeight="1">
      <c r="B482" s="49" t="str">
        <f>IFERROR(INDEX(Dim_Proyectos!$A:$A,MATCH(A482,Dim_Proyectos!$B:$B,0)),"")</f>
        <v/>
      </c>
    </row>
    <row r="483" spans="2:2" ht="15" customHeight="1">
      <c r="B483" s="49" t="str">
        <f>IFERROR(INDEX(Dim_Proyectos!$A:$A,MATCH(A483,Dim_Proyectos!$B:$B,0)),"")</f>
        <v/>
      </c>
    </row>
    <row r="484" spans="2:2" ht="15" customHeight="1">
      <c r="B484" s="49" t="str">
        <f>IFERROR(INDEX(Dim_Proyectos!$A:$A,MATCH(A484,Dim_Proyectos!$B:$B,0)),"")</f>
        <v/>
      </c>
    </row>
    <row r="485" spans="2:2" ht="15" customHeight="1">
      <c r="B485" s="49" t="str">
        <f>IFERROR(INDEX(Dim_Proyectos!$A:$A,MATCH(A485,Dim_Proyectos!$B:$B,0)),"")</f>
        <v/>
      </c>
    </row>
    <row r="486" spans="2:2" ht="15" customHeight="1">
      <c r="B486" s="49" t="str">
        <f>IFERROR(INDEX(Dim_Proyectos!$A:$A,MATCH(A486,Dim_Proyectos!$B:$B,0)),"")</f>
        <v/>
      </c>
    </row>
    <row r="487" spans="2:2" ht="15" customHeight="1">
      <c r="B487" s="49" t="str">
        <f>IFERROR(INDEX(Dim_Proyectos!$A:$A,MATCH(A487,Dim_Proyectos!$B:$B,0)),"")</f>
        <v/>
      </c>
    </row>
    <row r="488" spans="2:2" ht="15" customHeight="1">
      <c r="B488" s="49" t="str">
        <f>IFERROR(INDEX(Dim_Proyectos!$A:$A,MATCH(A488,Dim_Proyectos!$B:$B,0)),"")</f>
        <v/>
      </c>
    </row>
    <row r="489" spans="2:2" ht="15" customHeight="1">
      <c r="B489" s="49" t="str">
        <f>IFERROR(INDEX(Dim_Proyectos!$A:$A,MATCH(A489,Dim_Proyectos!$B:$B,0)),"")</f>
        <v/>
      </c>
    </row>
    <row r="490" spans="2:2" ht="15" customHeight="1">
      <c r="B490" s="49" t="str">
        <f>IFERROR(INDEX(Dim_Proyectos!$A:$A,MATCH(A490,Dim_Proyectos!$B:$B,0)),"")</f>
        <v/>
      </c>
    </row>
    <row r="491" spans="2:2" ht="15" customHeight="1">
      <c r="B491" s="49" t="str">
        <f>IFERROR(INDEX(Dim_Proyectos!$A:$A,MATCH(A491,Dim_Proyectos!$B:$B,0)),"")</f>
        <v/>
      </c>
    </row>
    <row r="492" spans="2:2" ht="15" customHeight="1">
      <c r="B492" s="49" t="str">
        <f>IFERROR(INDEX(Dim_Proyectos!$A:$A,MATCH(A492,Dim_Proyectos!$B:$B,0)),"")</f>
        <v/>
      </c>
    </row>
    <row r="493" spans="2:2" ht="15" customHeight="1">
      <c r="B493" s="49" t="str">
        <f>IFERROR(INDEX(Dim_Proyectos!$A:$A,MATCH(A493,Dim_Proyectos!$B:$B,0)),"")</f>
        <v/>
      </c>
    </row>
    <row r="494" spans="2:2" ht="15" customHeight="1">
      <c r="B494" s="49" t="str">
        <f>IFERROR(INDEX(Dim_Proyectos!$A:$A,MATCH(A494,Dim_Proyectos!$B:$B,0)),"")</f>
        <v/>
      </c>
    </row>
    <row r="495" spans="2:2" ht="15" customHeight="1">
      <c r="B495" s="49" t="str">
        <f>IFERROR(INDEX(Dim_Proyectos!$A:$A,MATCH(A495,Dim_Proyectos!$B:$B,0)),"")</f>
        <v/>
      </c>
    </row>
    <row r="496" spans="2:2" ht="15" customHeight="1">
      <c r="B496" s="49" t="str">
        <f>IFERROR(INDEX(Dim_Proyectos!$A:$A,MATCH(A496,Dim_Proyectos!$B:$B,0)),"")</f>
        <v/>
      </c>
    </row>
    <row r="497" spans="2:2" ht="15" customHeight="1">
      <c r="B497" s="49" t="str">
        <f>IFERROR(INDEX(Dim_Proyectos!$A:$A,MATCH(A497,Dim_Proyectos!$B:$B,0)),"")</f>
        <v/>
      </c>
    </row>
    <row r="498" spans="2:2" ht="15" customHeight="1">
      <c r="B498" s="49" t="str">
        <f>IFERROR(INDEX(Dim_Proyectos!$A:$A,MATCH(A498,Dim_Proyectos!$B:$B,0)),"")</f>
        <v/>
      </c>
    </row>
    <row r="499" spans="2:2" ht="15" customHeight="1">
      <c r="B499" s="49" t="str">
        <f>IFERROR(INDEX(Dim_Proyectos!$A:$A,MATCH(A499,Dim_Proyectos!$B:$B,0)),"")</f>
        <v/>
      </c>
    </row>
    <row r="500" spans="2:2" ht="15" customHeight="1">
      <c r="B500" s="49" t="str">
        <f>IFERROR(INDEX(Dim_Proyectos!$A:$A,MATCH(A500,Dim_Proyectos!$B:$B,0)),"")</f>
        <v/>
      </c>
    </row>
    <row r="501" spans="2:2" ht="15" customHeight="1">
      <c r="B501" s="49" t="str">
        <f>IFERROR(INDEX(Dim_Proyectos!$A:$A,MATCH(A501,Dim_Proyectos!$B:$B,0)),"")</f>
        <v/>
      </c>
    </row>
    <row r="502" spans="2:2" ht="15" customHeight="1">
      <c r="B502" s="49" t="str">
        <f>IFERROR(INDEX(Dim_Proyectos!$A:$A,MATCH(A502,Dim_Proyectos!$B:$B,0)),"")</f>
        <v/>
      </c>
    </row>
    <row r="503" spans="2:2" ht="15" customHeight="1">
      <c r="B503" s="49" t="str">
        <f>IFERROR(INDEX(Dim_Proyectos!$A:$A,MATCH(A503,Dim_Proyectos!$B:$B,0)),"")</f>
        <v/>
      </c>
    </row>
    <row r="504" spans="2:2" ht="15" customHeight="1">
      <c r="B504" s="49" t="str">
        <f>IFERROR(INDEX(Dim_Proyectos!$A:$A,MATCH(A504,Dim_Proyectos!$B:$B,0)),"")</f>
        <v/>
      </c>
    </row>
    <row r="505" spans="2:2" ht="15" customHeight="1">
      <c r="B505" s="49" t="str">
        <f>IFERROR(INDEX(Dim_Proyectos!$A:$A,MATCH(A505,Dim_Proyectos!$B:$B,0)),"")</f>
        <v/>
      </c>
    </row>
    <row r="506" spans="2:2" ht="15" customHeight="1">
      <c r="B506" s="49" t="str">
        <f>IFERROR(INDEX(Dim_Proyectos!$A:$A,MATCH(A506,Dim_Proyectos!$B:$B,0)),"")</f>
        <v/>
      </c>
    </row>
    <row r="507" spans="2:2" ht="15" customHeight="1">
      <c r="B507" s="49" t="str">
        <f>IFERROR(INDEX(Dim_Proyectos!$A:$A,MATCH(A507,Dim_Proyectos!$B:$B,0)),"")</f>
        <v/>
      </c>
    </row>
    <row r="508" spans="2:2" ht="15" customHeight="1">
      <c r="B508" s="49" t="str">
        <f>IFERROR(INDEX(Dim_Proyectos!$A:$A,MATCH(A508,Dim_Proyectos!$B:$B,0)),"")</f>
        <v/>
      </c>
    </row>
    <row r="509" spans="2:2" ht="15" customHeight="1">
      <c r="B509" s="49" t="str">
        <f>IFERROR(INDEX(Dim_Proyectos!$A:$A,MATCH(A509,Dim_Proyectos!$B:$B,0)),"")</f>
        <v/>
      </c>
    </row>
    <row r="510" spans="2:2" ht="15" customHeight="1">
      <c r="B510" s="49" t="str">
        <f>IFERROR(INDEX(Dim_Proyectos!$A:$A,MATCH(A510,Dim_Proyectos!$B:$B,0)),"")</f>
        <v/>
      </c>
    </row>
    <row r="511" spans="2:2" ht="15" customHeight="1">
      <c r="B511" s="49" t="str">
        <f>IFERROR(INDEX(Dim_Proyectos!$A:$A,MATCH(A511,Dim_Proyectos!$B:$B,0)),"")</f>
        <v/>
      </c>
    </row>
    <row r="512" spans="2:2" ht="15" customHeight="1">
      <c r="B512" s="49" t="str">
        <f>IFERROR(INDEX(Dim_Proyectos!$A:$A,MATCH(A512,Dim_Proyectos!$B:$B,0)),"")</f>
        <v/>
      </c>
    </row>
    <row r="513" spans="2:2" ht="15" customHeight="1">
      <c r="B513" s="49" t="str">
        <f>IFERROR(INDEX(Dim_Proyectos!$A:$A,MATCH(A513,Dim_Proyectos!$B:$B,0)),"")</f>
        <v/>
      </c>
    </row>
    <row r="514" spans="2:2" ht="15" customHeight="1">
      <c r="B514" s="49" t="str">
        <f>IFERROR(INDEX(Dim_Proyectos!$A:$A,MATCH(A514,Dim_Proyectos!$B:$B,0)),"")</f>
        <v/>
      </c>
    </row>
    <row r="515" spans="2:2" ht="15" customHeight="1">
      <c r="B515" s="49" t="str">
        <f>IFERROR(INDEX(Dim_Proyectos!$A:$A,MATCH(A515,Dim_Proyectos!$B:$B,0)),"")</f>
        <v/>
      </c>
    </row>
    <row r="516" spans="2:2" ht="15" customHeight="1">
      <c r="B516" s="49" t="str">
        <f>IFERROR(INDEX(Dim_Proyectos!$A:$A,MATCH(A516,Dim_Proyectos!$B:$B,0)),"")</f>
        <v/>
      </c>
    </row>
    <row r="517" spans="2:2" ht="15" customHeight="1">
      <c r="B517" s="49" t="str">
        <f>IFERROR(INDEX(Dim_Proyectos!$A:$A,MATCH(A517,Dim_Proyectos!$B:$B,0)),"")</f>
        <v/>
      </c>
    </row>
    <row r="518" spans="2:2" ht="15" customHeight="1">
      <c r="B518" s="49" t="str">
        <f>IFERROR(INDEX(Dim_Proyectos!$A:$A,MATCH(A518,Dim_Proyectos!$B:$B,0)),"")</f>
        <v/>
      </c>
    </row>
    <row r="519" spans="2:2" ht="15" customHeight="1">
      <c r="B519" s="49" t="str">
        <f>IFERROR(INDEX(Dim_Proyectos!$A:$A,MATCH(A519,Dim_Proyectos!$B:$B,0)),"")</f>
        <v/>
      </c>
    </row>
    <row r="520" spans="2:2" ht="15" customHeight="1">
      <c r="B520" s="49" t="str">
        <f>IFERROR(INDEX(Dim_Proyectos!$A:$A,MATCH(A520,Dim_Proyectos!$B:$B,0)),"")</f>
        <v/>
      </c>
    </row>
    <row r="521" spans="2:2" ht="15" customHeight="1">
      <c r="B521" s="49" t="str">
        <f>IFERROR(INDEX(Dim_Proyectos!$A:$A,MATCH(A521,Dim_Proyectos!$B:$B,0)),"")</f>
        <v/>
      </c>
    </row>
    <row r="522" spans="2:2" ht="15" customHeight="1">
      <c r="B522" s="49" t="str">
        <f>IFERROR(INDEX(Dim_Proyectos!$A:$A,MATCH(A522,Dim_Proyectos!$B:$B,0)),"")</f>
        <v/>
      </c>
    </row>
    <row r="523" spans="2:2" ht="15" customHeight="1">
      <c r="B523" s="49" t="str">
        <f>IFERROR(INDEX(Dim_Proyectos!$A:$A,MATCH(A523,Dim_Proyectos!$B:$B,0)),"")</f>
        <v/>
      </c>
    </row>
    <row r="524" spans="2:2" ht="15" customHeight="1">
      <c r="B524" s="49" t="str">
        <f>IFERROR(INDEX(Dim_Proyectos!$A:$A,MATCH(A524,Dim_Proyectos!$B:$B,0)),"")</f>
        <v/>
      </c>
    </row>
    <row r="525" spans="2:2" ht="15" customHeight="1">
      <c r="B525" s="49" t="str">
        <f>IFERROR(INDEX(Dim_Proyectos!$A:$A,MATCH(A525,Dim_Proyectos!$B:$B,0)),"")</f>
        <v/>
      </c>
    </row>
    <row r="526" spans="2:2" ht="15" customHeight="1">
      <c r="B526" s="49" t="str">
        <f>IFERROR(INDEX(Dim_Proyectos!$A:$A,MATCH(A526,Dim_Proyectos!$B:$B,0)),"")</f>
        <v/>
      </c>
    </row>
    <row r="527" spans="2:2" ht="15" customHeight="1">
      <c r="B527" s="49" t="str">
        <f>IFERROR(INDEX(Dim_Proyectos!$A:$A,MATCH(A527,Dim_Proyectos!$B:$B,0)),"")</f>
        <v/>
      </c>
    </row>
    <row r="528" spans="2:2" ht="15" customHeight="1">
      <c r="B528" s="49" t="str">
        <f>IFERROR(INDEX(Dim_Proyectos!$A:$A,MATCH(A528,Dim_Proyectos!$B:$B,0)),"")</f>
        <v/>
      </c>
    </row>
    <row r="529" spans="2:2" ht="15" customHeight="1">
      <c r="B529" s="49" t="str">
        <f>IFERROR(INDEX(Dim_Proyectos!$A:$A,MATCH(A529,Dim_Proyectos!$B:$B,0)),"")</f>
        <v/>
      </c>
    </row>
    <row r="530" spans="2:2" ht="15" customHeight="1">
      <c r="B530" s="49" t="str">
        <f>IFERROR(INDEX(Dim_Proyectos!$A:$A,MATCH(A530,Dim_Proyectos!$B:$B,0)),"")</f>
        <v/>
      </c>
    </row>
    <row r="531" spans="2:2" ht="15" customHeight="1">
      <c r="B531" s="49" t="str">
        <f>IFERROR(INDEX(Dim_Proyectos!$A:$A,MATCH(A531,Dim_Proyectos!$B:$B,0)),"")</f>
        <v/>
      </c>
    </row>
    <row r="532" spans="2:2" ht="15" customHeight="1">
      <c r="B532" s="49" t="str">
        <f>IFERROR(INDEX(Dim_Proyectos!$A:$A,MATCH(A532,Dim_Proyectos!$B:$B,0)),"")</f>
        <v/>
      </c>
    </row>
    <row r="533" spans="2:2" ht="15" customHeight="1">
      <c r="B533" s="49" t="str">
        <f>IFERROR(INDEX(Dim_Proyectos!$A:$A,MATCH(A533,Dim_Proyectos!$B:$B,0)),"")</f>
        <v/>
      </c>
    </row>
    <row r="534" spans="2:2" ht="15" customHeight="1">
      <c r="B534" s="49" t="str">
        <f>IFERROR(INDEX(Dim_Proyectos!$A:$A,MATCH(A534,Dim_Proyectos!$B:$B,0)),"")</f>
        <v/>
      </c>
    </row>
    <row r="535" spans="2:2" ht="15" customHeight="1">
      <c r="B535" s="49" t="str">
        <f>IFERROR(INDEX(Dim_Proyectos!$A:$A,MATCH(A535,Dim_Proyectos!$B:$B,0)),"")</f>
        <v/>
      </c>
    </row>
    <row r="536" spans="2:2" ht="15" customHeight="1">
      <c r="B536" s="49" t="str">
        <f>IFERROR(INDEX(Dim_Proyectos!$A:$A,MATCH(A536,Dim_Proyectos!$B:$B,0)),"")</f>
        <v/>
      </c>
    </row>
    <row r="537" spans="2:2" ht="15" customHeight="1">
      <c r="B537" s="49" t="str">
        <f>IFERROR(INDEX(Dim_Proyectos!$A:$A,MATCH(A537,Dim_Proyectos!$B:$B,0)),"")</f>
        <v/>
      </c>
    </row>
    <row r="538" spans="2:2" ht="15" customHeight="1">
      <c r="B538" s="49" t="str">
        <f>IFERROR(INDEX(Dim_Proyectos!$A:$A,MATCH(A538,Dim_Proyectos!$B:$B,0)),"")</f>
        <v/>
      </c>
    </row>
    <row r="539" spans="2:2" ht="15" customHeight="1">
      <c r="B539" s="49" t="str">
        <f>IFERROR(INDEX(Dim_Proyectos!$A:$A,MATCH(A539,Dim_Proyectos!$B:$B,0)),"")</f>
        <v/>
      </c>
    </row>
    <row r="540" spans="2:2" ht="15" customHeight="1">
      <c r="B540" s="49" t="str">
        <f>IFERROR(INDEX(Dim_Proyectos!$A:$A,MATCH(A540,Dim_Proyectos!$B:$B,0)),"")</f>
        <v/>
      </c>
    </row>
    <row r="541" spans="2:2" ht="15" customHeight="1">
      <c r="B541" s="49" t="str">
        <f>IFERROR(INDEX(Dim_Proyectos!$A:$A,MATCH(A541,Dim_Proyectos!$B:$B,0)),"")</f>
        <v/>
      </c>
    </row>
    <row r="542" spans="2:2" ht="15" customHeight="1">
      <c r="B542" s="49" t="str">
        <f>IFERROR(INDEX(Dim_Proyectos!$A:$A,MATCH(A542,Dim_Proyectos!$B:$B,0)),"")</f>
        <v/>
      </c>
    </row>
    <row r="543" spans="2:2" ht="15" customHeight="1">
      <c r="B543" s="49" t="str">
        <f>IFERROR(INDEX(Dim_Proyectos!$A:$A,MATCH(A543,Dim_Proyectos!$B:$B,0)),"")</f>
        <v/>
      </c>
    </row>
    <row r="544" spans="2:2" ht="15" customHeight="1">
      <c r="B544" s="49" t="str">
        <f>IFERROR(INDEX(Dim_Proyectos!$A:$A,MATCH(A544,Dim_Proyectos!$B:$B,0)),"")</f>
        <v/>
      </c>
    </row>
    <row r="545" spans="2:2" ht="15" customHeight="1">
      <c r="B545" s="49" t="str">
        <f>IFERROR(INDEX(Dim_Proyectos!$A:$A,MATCH(A545,Dim_Proyectos!$B:$B,0)),"")</f>
        <v/>
      </c>
    </row>
    <row r="546" spans="2:2" ht="15" customHeight="1">
      <c r="B546" s="49" t="str">
        <f>IFERROR(INDEX(Dim_Proyectos!$A:$A,MATCH(A546,Dim_Proyectos!$B:$B,0)),"")</f>
        <v/>
      </c>
    </row>
    <row r="547" spans="2:2" ht="15" customHeight="1">
      <c r="B547" s="49" t="str">
        <f>IFERROR(INDEX(Dim_Proyectos!$A:$A,MATCH(A547,Dim_Proyectos!$B:$B,0)),"")</f>
        <v/>
      </c>
    </row>
    <row r="548" spans="2:2" ht="15" customHeight="1">
      <c r="B548" s="49" t="str">
        <f>IFERROR(INDEX(Dim_Proyectos!$A:$A,MATCH(A548,Dim_Proyectos!$B:$B,0)),"")</f>
        <v/>
      </c>
    </row>
    <row r="549" spans="2:2" ht="15" customHeight="1">
      <c r="B549" s="49" t="str">
        <f>IFERROR(INDEX(Dim_Proyectos!$A:$A,MATCH(A549,Dim_Proyectos!$B:$B,0)),"")</f>
        <v/>
      </c>
    </row>
    <row r="550" spans="2:2" ht="15" customHeight="1">
      <c r="B550" s="49" t="str">
        <f>IFERROR(INDEX(Dim_Proyectos!$A:$A,MATCH(A550,Dim_Proyectos!$B:$B,0)),"")</f>
        <v/>
      </c>
    </row>
    <row r="551" spans="2:2" ht="15" customHeight="1">
      <c r="B551" s="49" t="str">
        <f>IFERROR(INDEX(Dim_Proyectos!$A:$A,MATCH(A551,Dim_Proyectos!$B:$B,0)),"")</f>
        <v/>
      </c>
    </row>
    <row r="552" spans="2:2" ht="15" customHeight="1">
      <c r="B552" s="49" t="str">
        <f>IFERROR(INDEX(Dim_Proyectos!$A:$A,MATCH(A552,Dim_Proyectos!$B:$B,0)),"")</f>
        <v/>
      </c>
    </row>
    <row r="553" spans="2:2" ht="15" customHeight="1">
      <c r="B553" s="49" t="str">
        <f>IFERROR(INDEX(Dim_Proyectos!$A:$A,MATCH(A553,Dim_Proyectos!$B:$B,0)),"")</f>
        <v/>
      </c>
    </row>
    <row r="554" spans="2:2" ht="15" customHeight="1">
      <c r="B554" s="49" t="str">
        <f>IFERROR(INDEX(Dim_Proyectos!$A:$A,MATCH(A554,Dim_Proyectos!$B:$B,0)),"")</f>
        <v/>
      </c>
    </row>
    <row r="555" spans="2:2" ht="15" customHeight="1">
      <c r="B555" s="49" t="str">
        <f>IFERROR(INDEX(Dim_Proyectos!$A:$A,MATCH(A555,Dim_Proyectos!$B:$B,0)),"")</f>
        <v/>
      </c>
    </row>
    <row r="556" spans="2:2" ht="15" customHeight="1">
      <c r="B556" s="49" t="str">
        <f>IFERROR(INDEX(Dim_Proyectos!$A:$A,MATCH(A556,Dim_Proyectos!$B:$B,0)),"")</f>
        <v/>
      </c>
    </row>
    <row r="557" spans="2:2" ht="15" customHeight="1">
      <c r="B557" s="49" t="str">
        <f>IFERROR(INDEX(Dim_Proyectos!$A:$A,MATCH(A557,Dim_Proyectos!$B:$B,0)),"")</f>
        <v/>
      </c>
    </row>
    <row r="558" spans="2:2" ht="15" customHeight="1">
      <c r="B558" s="49" t="str">
        <f>IFERROR(INDEX(Dim_Proyectos!$A:$A,MATCH(A558,Dim_Proyectos!$B:$B,0)),"")</f>
        <v/>
      </c>
    </row>
    <row r="559" spans="2:2" ht="15" customHeight="1">
      <c r="B559" s="49" t="str">
        <f>IFERROR(INDEX(Dim_Proyectos!$A:$A,MATCH(A559,Dim_Proyectos!$B:$B,0)),"")</f>
        <v/>
      </c>
    </row>
    <row r="560" spans="2:2" ht="15" customHeight="1">
      <c r="B560" s="49" t="str">
        <f>IFERROR(INDEX(Dim_Proyectos!$A:$A,MATCH(A560,Dim_Proyectos!$B:$B,0)),"")</f>
        <v/>
      </c>
    </row>
  </sheetData>
  <mergeCells count="1">
    <mergeCell ref="A1:L1"/>
  </mergeCells>
  <dataValidations count="4">
    <dataValidation type="list" allowBlank="1" sqref="A3:A560" xr:uid="{00000000-0002-0000-0200-000000000000}">
      <formula1>Lista_Proyectos</formula1>
      <formula2>0</formula2>
    </dataValidation>
    <dataValidation type="list" allowBlank="1" sqref="C3:C560" xr:uid="{00000000-0002-0000-0200-000001000000}">
      <formula1>"Estudio de traza,Estudios previos LAT,Estudios previos SE,Ingeniería Básica,Ingeniería Detalle"</formula1>
      <formula2>0</formula2>
    </dataValidation>
    <dataValidation type="list" allowBlank="1" sqref="D3:D560" xr:uid="{00000000-0002-0000-0200-000002000000}">
      <formula1>"SST,Estudios previos,Condiciones_OC,Condiciones_ME,EETT_OC,EETT_ME,Presupuesto_OC,Presupuesto_ME,Cronograma_OC,Cronograma_ME,Memorias_OC,Memorias_ME,Modelos_OC,Modelos_ME,Equipos"</formula1>
      <formula2>0</formula2>
    </dataValidation>
    <dataValidation type="list" allowBlank="1" sqref="I3:I560" xr:uid="{00000000-0002-0000-0200-000003000000}">
      <formula1>"Aprobado,Rechazado,En revisión,En proceso,Atención de comentarios"</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428"/>
  <sheetViews>
    <sheetView tabSelected="1" zoomScaleNormal="100" workbookViewId="0">
      <pane xSplit="1" ySplit="2" topLeftCell="B3" activePane="bottomRight" state="frozen"/>
      <selection pane="bottomRight" sqref="A1:XFD1"/>
      <selection pane="bottomLeft" activeCell="A21" sqref="A21"/>
      <selection pane="topRight" activeCell="B1" sqref="B1"/>
    </sheetView>
  </sheetViews>
  <sheetFormatPr defaultColWidth="8.7109375" defaultRowHeight="15"/>
  <cols>
    <col min="1" max="1" width="26" customWidth="1"/>
    <col min="2" max="2" width="15" customWidth="1"/>
    <col min="3" max="3" width="16" customWidth="1"/>
    <col min="4" max="4" width="19.28515625" customWidth="1"/>
    <col min="5" max="5" width="63.28515625" customWidth="1"/>
    <col min="6" max="7" width="16" customWidth="1"/>
    <col min="8" max="8" width="14" customWidth="1"/>
    <col min="9" max="10" width="12" customWidth="1"/>
    <col min="11" max="11" width="13" customWidth="1"/>
    <col min="12" max="12" width="16" customWidth="1"/>
    <col min="13" max="13" width="34" customWidth="1"/>
  </cols>
  <sheetData>
    <row r="1" spans="1:14" ht="24" customHeight="1">
      <c r="A1" s="130" t="s">
        <v>341</v>
      </c>
      <c r="B1" s="130"/>
      <c r="C1" s="130"/>
      <c r="D1" s="130"/>
      <c r="E1" s="130"/>
      <c r="F1" s="130"/>
      <c r="G1" s="130"/>
      <c r="H1" s="130"/>
      <c r="I1" s="130"/>
      <c r="J1" s="130"/>
      <c r="K1" s="130"/>
      <c r="L1" s="130"/>
      <c r="M1" s="130"/>
      <c r="N1" s="130"/>
    </row>
    <row r="2" spans="1:14" ht="30" customHeight="1">
      <c r="A2" s="37" t="s">
        <v>120</v>
      </c>
      <c r="B2" s="37" t="s">
        <v>121</v>
      </c>
      <c r="C2" s="37" t="s">
        <v>122</v>
      </c>
      <c r="D2" s="37" t="s">
        <v>123</v>
      </c>
      <c r="E2" s="37" t="s">
        <v>124</v>
      </c>
      <c r="F2" s="37" t="s">
        <v>342</v>
      </c>
      <c r="G2" s="37" t="s">
        <v>343</v>
      </c>
      <c r="H2" s="37" t="s">
        <v>344</v>
      </c>
      <c r="I2" s="37" t="s">
        <v>126</v>
      </c>
      <c r="J2" s="37" t="s">
        <v>127</v>
      </c>
      <c r="K2" s="37" t="s">
        <v>128</v>
      </c>
      <c r="L2" s="37" t="s">
        <v>129</v>
      </c>
      <c r="M2" s="37" t="s">
        <v>130</v>
      </c>
      <c r="N2" s="37" t="s">
        <v>131</v>
      </c>
    </row>
    <row r="3" spans="1:14" ht="15" customHeight="1">
      <c r="A3" s="50" t="s">
        <v>345</v>
      </c>
      <c r="B3" s="39" t="str">
        <f>IFERROR(INDEX(Dim_Proyectos!$A:$A,MATCH(A3,Dim_Proyectos!$B:$B,0)),"")</f>
        <v>P010</v>
      </c>
      <c r="C3" s="40" t="s">
        <v>346</v>
      </c>
      <c r="D3" s="40" t="s">
        <v>229</v>
      </c>
      <c r="E3" s="41" t="s">
        <v>315</v>
      </c>
      <c r="F3" s="40"/>
      <c r="G3" s="40"/>
      <c r="H3" s="40"/>
      <c r="I3" s="40"/>
      <c r="J3" s="40" t="s">
        <v>347</v>
      </c>
      <c r="K3" s="40" t="s">
        <v>151</v>
      </c>
      <c r="L3" s="42">
        <v>46056</v>
      </c>
      <c r="M3" s="40"/>
      <c r="N3" s="40" t="s">
        <v>348</v>
      </c>
    </row>
    <row r="4" spans="1:14" ht="15" customHeight="1">
      <c r="A4" s="50" t="s">
        <v>345</v>
      </c>
      <c r="B4" s="43" t="str">
        <f>IFERROR(INDEX(Dim_Proyectos!$A:$A,MATCH(A4,Dim_Proyectos!$B:$B,0)),"")</f>
        <v>P010</v>
      </c>
      <c r="C4" s="44" t="s">
        <v>346</v>
      </c>
      <c r="D4" s="44" t="s">
        <v>229</v>
      </c>
      <c r="E4" s="45" t="s">
        <v>317</v>
      </c>
      <c r="F4" s="44"/>
      <c r="G4" s="44"/>
      <c r="H4" s="44"/>
      <c r="I4" s="44"/>
      <c r="J4" s="44" t="s">
        <v>347</v>
      </c>
      <c r="K4" s="44" t="s">
        <v>151</v>
      </c>
      <c r="L4" s="46">
        <v>46056</v>
      </c>
      <c r="M4" s="44"/>
      <c r="N4" s="44" t="s">
        <v>349</v>
      </c>
    </row>
    <row r="5" spans="1:14" ht="15" customHeight="1">
      <c r="A5" s="50" t="s">
        <v>345</v>
      </c>
      <c r="B5" s="39" t="str">
        <f>IFERROR(INDEX(Dim_Proyectos!$A:$A,MATCH(A5,Dim_Proyectos!$B:$B,0)),"")</f>
        <v>P010</v>
      </c>
      <c r="C5" s="40" t="s">
        <v>346</v>
      </c>
      <c r="D5" s="40" t="s">
        <v>229</v>
      </c>
      <c r="E5" s="41" t="s">
        <v>320</v>
      </c>
      <c r="F5" s="40"/>
      <c r="G5" s="40"/>
      <c r="H5" s="40"/>
      <c r="I5" s="40"/>
      <c r="J5" s="40" t="s">
        <v>347</v>
      </c>
      <c r="K5" s="40" t="s">
        <v>151</v>
      </c>
      <c r="L5" s="42">
        <v>46056</v>
      </c>
      <c r="M5" s="40"/>
      <c r="N5" s="40" t="s">
        <v>349</v>
      </c>
    </row>
    <row r="6" spans="1:14" ht="15" customHeight="1">
      <c r="A6" s="50" t="s">
        <v>350</v>
      </c>
      <c r="B6" s="43" t="str">
        <f>IFERROR(INDEX(Dim_Proyectos!$A:$A,MATCH(A6,Dim_Proyectos!$B:$B,0)),"")</f>
        <v>P014</v>
      </c>
      <c r="C6" s="44" t="s">
        <v>346</v>
      </c>
      <c r="D6" s="44" t="s">
        <v>229</v>
      </c>
      <c r="E6" s="45" t="s">
        <v>315</v>
      </c>
      <c r="F6" s="44"/>
      <c r="G6" s="44"/>
      <c r="H6" s="44"/>
      <c r="I6" s="44"/>
      <c r="J6" s="44" t="s">
        <v>331</v>
      </c>
      <c r="K6" s="44" t="s">
        <v>151</v>
      </c>
      <c r="L6" s="46">
        <v>46142</v>
      </c>
      <c r="M6" s="44"/>
      <c r="N6" s="44" t="s">
        <v>351</v>
      </c>
    </row>
    <row r="7" spans="1:14" ht="15" customHeight="1">
      <c r="A7" s="50" t="s">
        <v>350</v>
      </c>
      <c r="B7" s="39" t="str">
        <f>IFERROR(INDEX(Dim_Proyectos!$A:$A,MATCH(A7,Dim_Proyectos!$B:$B,0)),"")</f>
        <v>P014</v>
      </c>
      <c r="C7" s="40" t="s">
        <v>346</v>
      </c>
      <c r="D7" s="40" t="s">
        <v>229</v>
      </c>
      <c r="E7" s="41" t="s">
        <v>317</v>
      </c>
      <c r="F7" s="40"/>
      <c r="G7" s="40"/>
      <c r="H7" s="40"/>
      <c r="I7" s="40"/>
      <c r="J7" s="40" t="s">
        <v>331</v>
      </c>
      <c r="K7" s="40" t="s">
        <v>208</v>
      </c>
      <c r="L7" s="42">
        <v>46022</v>
      </c>
      <c r="M7" s="40"/>
      <c r="N7" s="40" t="s">
        <v>352</v>
      </c>
    </row>
    <row r="8" spans="1:14" ht="15" customHeight="1">
      <c r="A8" s="50" t="s">
        <v>350</v>
      </c>
      <c r="B8" s="43" t="str">
        <f>IFERROR(INDEX(Dim_Proyectos!$A:$A,MATCH(A8,Dim_Proyectos!$B:$B,0)),"")</f>
        <v>P014</v>
      </c>
      <c r="C8" s="44" t="s">
        <v>346</v>
      </c>
      <c r="D8" s="44" t="s">
        <v>229</v>
      </c>
      <c r="E8" s="45" t="s">
        <v>320</v>
      </c>
      <c r="F8" s="44"/>
      <c r="G8" s="44"/>
      <c r="H8" s="44"/>
      <c r="I8" s="44"/>
      <c r="J8" s="44" t="s">
        <v>331</v>
      </c>
      <c r="K8" s="44" t="s">
        <v>208</v>
      </c>
      <c r="L8" s="46">
        <v>46022</v>
      </c>
      <c r="M8" s="44"/>
      <c r="N8" s="44" t="s">
        <v>352</v>
      </c>
    </row>
    <row r="9" spans="1:14" ht="15" customHeight="1">
      <c r="A9" s="50" t="s">
        <v>350</v>
      </c>
      <c r="B9" s="39" t="str">
        <f>IFERROR(INDEX(Dim_Proyectos!$A:$A,MATCH(A9,Dim_Proyectos!$B:$B,0)),"")</f>
        <v>P014</v>
      </c>
      <c r="C9" s="40" t="s">
        <v>346</v>
      </c>
      <c r="D9" s="40" t="s">
        <v>229</v>
      </c>
      <c r="E9" s="41" t="s">
        <v>353</v>
      </c>
      <c r="F9" s="40"/>
      <c r="G9" s="40"/>
      <c r="H9" s="40"/>
      <c r="I9" s="40"/>
      <c r="J9" s="40" t="s">
        <v>331</v>
      </c>
      <c r="K9" s="40" t="s">
        <v>208</v>
      </c>
      <c r="L9" s="42">
        <v>46022</v>
      </c>
      <c r="M9" s="40"/>
      <c r="N9" s="40" t="s">
        <v>352</v>
      </c>
    </row>
    <row r="10" spans="1:14" ht="15" customHeight="1">
      <c r="A10" s="50" t="s">
        <v>354</v>
      </c>
      <c r="B10" s="43" t="str">
        <f>IFERROR(INDEX(Dim_Proyectos!$A:$A,MATCH(A10,Dim_Proyectos!$B:$B,0)),"")</f>
        <v>P008</v>
      </c>
      <c r="C10" s="44" t="s">
        <v>346</v>
      </c>
      <c r="D10" s="44" t="s">
        <v>229</v>
      </c>
      <c r="E10" s="45" t="s">
        <v>315</v>
      </c>
      <c r="F10" s="44"/>
      <c r="G10" s="44"/>
      <c r="H10" s="44"/>
      <c r="I10" s="44"/>
      <c r="J10" s="44" t="s">
        <v>355</v>
      </c>
      <c r="K10" s="44" t="s">
        <v>136</v>
      </c>
      <c r="L10" s="46">
        <v>46146</v>
      </c>
      <c r="M10" s="44"/>
      <c r="N10" s="44" t="s">
        <v>356</v>
      </c>
    </row>
    <row r="11" spans="1:14" ht="15" customHeight="1">
      <c r="A11" s="50" t="s">
        <v>354</v>
      </c>
      <c r="B11" s="39" t="str">
        <f>IFERROR(INDEX(Dim_Proyectos!$A:$A,MATCH(A11,Dim_Proyectos!$B:$B,0)),"")</f>
        <v>P008</v>
      </c>
      <c r="C11" s="40" t="s">
        <v>346</v>
      </c>
      <c r="D11" s="40" t="s">
        <v>229</v>
      </c>
      <c r="E11" s="41" t="s">
        <v>317</v>
      </c>
      <c r="F11" s="40"/>
      <c r="G11" s="40"/>
      <c r="H11" s="40"/>
      <c r="I11" s="40"/>
      <c r="J11" s="40" t="s">
        <v>327</v>
      </c>
      <c r="K11" s="40" t="s">
        <v>151</v>
      </c>
      <c r="L11" s="42">
        <v>46142</v>
      </c>
      <c r="M11" s="40"/>
      <c r="N11" s="40" t="s">
        <v>357</v>
      </c>
    </row>
    <row r="12" spans="1:14" ht="15" customHeight="1">
      <c r="A12" s="50" t="s">
        <v>354</v>
      </c>
      <c r="B12" s="43" t="str">
        <f>IFERROR(INDEX(Dim_Proyectos!$A:$A,MATCH(A12,Dim_Proyectos!$B:$B,0)),"")</f>
        <v>P008</v>
      </c>
      <c r="C12" s="44" t="s">
        <v>346</v>
      </c>
      <c r="D12" s="44" t="s">
        <v>229</v>
      </c>
      <c r="E12" s="45" t="s">
        <v>320</v>
      </c>
      <c r="F12" s="44"/>
      <c r="G12" s="44"/>
      <c r="H12" s="44"/>
      <c r="I12" s="44"/>
      <c r="J12" s="44" t="s">
        <v>327</v>
      </c>
      <c r="K12" s="44" t="s">
        <v>151</v>
      </c>
      <c r="L12" s="46">
        <v>46142</v>
      </c>
      <c r="M12" s="44"/>
      <c r="N12" s="44" t="s">
        <v>357</v>
      </c>
    </row>
    <row r="13" spans="1:14" ht="15" customHeight="1">
      <c r="A13" s="50" t="s">
        <v>358</v>
      </c>
      <c r="B13" s="39" t="str">
        <f>IFERROR(INDEX(Dim_Proyectos!$A:$A,MATCH(A13,Dim_Proyectos!$B:$B,0)),"")</f>
        <v>P011</v>
      </c>
      <c r="C13" s="40" t="s">
        <v>346</v>
      </c>
      <c r="D13" s="40" t="s">
        <v>229</v>
      </c>
      <c r="E13" s="41" t="s">
        <v>315</v>
      </c>
      <c r="F13" s="40"/>
      <c r="G13" s="40"/>
      <c r="H13" s="40"/>
      <c r="I13" s="40"/>
      <c r="J13" s="40" t="s">
        <v>359</v>
      </c>
      <c r="K13" s="40" t="s">
        <v>136</v>
      </c>
      <c r="L13" s="42">
        <v>46150</v>
      </c>
      <c r="M13" s="40"/>
      <c r="N13" s="40" t="s">
        <v>360</v>
      </c>
    </row>
    <row r="14" spans="1:14" ht="15" customHeight="1">
      <c r="A14" s="50" t="s">
        <v>358</v>
      </c>
      <c r="B14" s="43" t="str">
        <f>IFERROR(INDEX(Dim_Proyectos!$A:$A,MATCH(A14,Dim_Proyectos!$B:$B,0)),"")</f>
        <v>P011</v>
      </c>
      <c r="C14" s="44" t="s">
        <v>346</v>
      </c>
      <c r="D14" s="44" t="s">
        <v>229</v>
      </c>
      <c r="E14" s="45" t="s">
        <v>317</v>
      </c>
      <c r="F14" s="44"/>
      <c r="G14" s="44"/>
      <c r="H14" s="44"/>
      <c r="I14" s="44"/>
      <c r="J14" s="44" t="s">
        <v>359</v>
      </c>
      <c r="K14" s="44" t="s">
        <v>147</v>
      </c>
      <c r="L14" s="46">
        <v>46149</v>
      </c>
      <c r="M14" s="44"/>
      <c r="N14" s="44"/>
    </row>
    <row r="15" spans="1:14" ht="15" customHeight="1">
      <c r="A15" s="50" t="s">
        <v>358</v>
      </c>
      <c r="B15" s="39" t="str">
        <f>IFERROR(INDEX(Dim_Proyectos!$A:$A,MATCH(A15,Dim_Proyectos!$B:$B,0)),"")</f>
        <v>P011</v>
      </c>
      <c r="C15" s="40" t="s">
        <v>346</v>
      </c>
      <c r="D15" s="40" t="s">
        <v>229</v>
      </c>
      <c r="E15" s="41" t="s">
        <v>320</v>
      </c>
      <c r="F15" s="40"/>
      <c r="G15" s="40"/>
      <c r="H15" s="40"/>
      <c r="I15" s="40"/>
      <c r="J15" s="40" t="s">
        <v>359</v>
      </c>
      <c r="K15" s="40" t="s">
        <v>147</v>
      </c>
      <c r="L15" s="42">
        <v>46149</v>
      </c>
      <c r="M15" s="40"/>
      <c r="N15" s="40"/>
    </row>
    <row r="16" spans="1:14" ht="15" customHeight="1">
      <c r="A16" s="50" t="s">
        <v>361</v>
      </c>
      <c r="B16" s="43" t="str">
        <f>IFERROR(INDEX(Dim_Proyectos!$A:$A,MATCH(A16,Dim_Proyectos!$B:$B,0)),"")</f>
        <v>P007</v>
      </c>
      <c r="C16" s="44" t="s">
        <v>346</v>
      </c>
      <c r="D16" s="44" t="s">
        <v>229</v>
      </c>
      <c r="E16" s="45" t="s">
        <v>315</v>
      </c>
      <c r="F16" s="44"/>
      <c r="G16" s="44"/>
      <c r="H16" s="44"/>
      <c r="I16" s="44"/>
      <c r="J16" s="44" t="s">
        <v>362</v>
      </c>
      <c r="K16" s="44" t="s">
        <v>151</v>
      </c>
      <c r="L16" s="46">
        <v>46133</v>
      </c>
      <c r="M16" s="44"/>
      <c r="N16" s="44" t="s">
        <v>363</v>
      </c>
    </row>
    <row r="17" spans="1:14" ht="15" customHeight="1">
      <c r="A17" s="50" t="s">
        <v>361</v>
      </c>
      <c r="B17" s="39" t="str">
        <f>IFERROR(INDEX(Dim_Proyectos!$A:$A,MATCH(A17,Dim_Proyectos!$B:$B,0)),"")</f>
        <v>P007</v>
      </c>
      <c r="C17" s="40" t="s">
        <v>346</v>
      </c>
      <c r="D17" s="40" t="s">
        <v>229</v>
      </c>
      <c r="E17" s="41" t="s">
        <v>317</v>
      </c>
      <c r="F17" s="40"/>
      <c r="G17" s="40"/>
      <c r="H17" s="40"/>
      <c r="I17" s="40"/>
      <c r="J17" s="40" t="s">
        <v>364</v>
      </c>
      <c r="K17" s="40" t="s">
        <v>151</v>
      </c>
      <c r="L17" s="42">
        <v>46132</v>
      </c>
      <c r="M17" s="40"/>
      <c r="N17" s="40" t="s">
        <v>365</v>
      </c>
    </row>
    <row r="18" spans="1:14" ht="15" customHeight="1">
      <c r="A18" s="50" t="s">
        <v>361</v>
      </c>
      <c r="B18" s="43" t="str">
        <f>IFERROR(INDEX(Dim_Proyectos!$A:$A,MATCH(A18,Dim_Proyectos!$B:$B,0)),"")</f>
        <v>P007</v>
      </c>
      <c r="C18" s="44" t="s">
        <v>346</v>
      </c>
      <c r="D18" s="44" t="s">
        <v>229</v>
      </c>
      <c r="E18" s="45" t="s">
        <v>320</v>
      </c>
      <c r="F18" s="44"/>
      <c r="G18" s="44"/>
      <c r="H18" s="44"/>
      <c r="I18" s="44"/>
      <c r="J18" s="44" t="s">
        <v>366</v>
      </c>
      <c r="K18" s="44" t="s">
        <v>151</v>
      </c>
      <c r="L18" s="46">
        <v>46146</v>
      </c>
      <c r="M18" s="44"/>
      <c r="N18" s="44" t="s">
        <v>367</v>
      </c>
    </row>
    <row r="19" spans="1:14" ht="15" customHeight="1">
      <c r="A19" s="50" t="s">
        <v>361</v>
      </c>
      <c r="B19" s="39" t="str">
        <f>IFERROR(INDEX(Dim_Proyectos!$A:$A,MATCH(A19,Dim_Proyectos!$B:$B,0)),"")</f>
        <v>P007</v>
      </c>
      <c r="C19" s="40" t="s">
        <v>346</v>
      </c>
      <c r="D19" s="40" t="s">
        <v>229</v>
      </c>
      <c r="E19" s="41" t="s">
        <v>368</v>
      </c>
      <c r="F19" s="40"/>
      <c r="G19" s="40"/>
      <c r="H19" s="40"/>
      <c r="I19" s="40"/>
      <c r="J19" s="40" t="s">
        <v>369</v>
      </c>
      <c r="K19" s="40" t="s">
        <v>151</v>
      </c>
      <c r="L19" s="42">
        <v>46093</v>
      </c>
      <c r="M19" s="40"/>
      <c r="N19" s="40" t="s">
        <v>370</v>
      </c>
    </row>
    <row r="20" spans="1:14" ht="15" customHeight="1">
      <c r="A20" s="50" t="s">
        <v>371</v>
      </c>
      <c r="B20" s="43" t="str">
        <f>IFERROR(INDEX(Dim_Proyectos!$A:$A,MATCH(A20,Dim_Proyectos!$B:$B,0)),"")</f>
        <v>P015</v>
      </c>
      <c r="C20" s="44" t="s">
        <v>346</v>
      </c>
      <c r="D20" s="44" t="s">
        <v>229</v>
      </c>
      <c r="E20" s="45" t="s">
        <v>315</v>
      </c>
      <c r="F20" s="44"/>
      <c r="G20" s="44"/>
      <c r="H20" s="44"/>
      <c r="I20" s="44"/>
      <c r="J20" s="44"/>
      <c r="K20" s="44" t="s">
        <v>151</v>
      </c>
      <c r="L20" s="46">
        <v>45761</v>
      </c>
      <c r="M20" s="44"/>
      <c r="N20" s="44" t="s">
        <v>372</v>
      </c>
    </row>
    <row r="21" spans="1:14" ht="15" customHeight="1">
      <c r="A21" s="50" t="s">
        <v>371</v>
      </c>
      <c r="B21" s="39" t="str">
        <f>IFERROR(INDEX(Dim_Proyectos!$A:$A,MATCH(A21,Dim_Proyectos!$B:$B,0)),"")</f>
        <v>P015</v>
      </c>
      <c r="C21" s="40" t="s">
        <v>346</v>
      </c>
      <c r="D21" s="40" t="s">
        <v>229</v>
      </c>
      <c r="E21" s="41" t="s">
        <v>317</v>
      </c>
      <c r="F21" s="40"/>
      <c r="G21" s="40"/>
      <c r="H21" s="40"/>
      <c r="I21" s="40"/>
      <c r="J21" s="40"/>
      <c r="K21" s="40" t="s">
        <v>151</v>
      </c>
      <c r="L21" s="42">
        <v>45761</v>
      </c>
      <c r="M21" s="40"/>
      <c r="N21" s="40" t="s">
        <v>372</v>
      </c>
    </row>
    <row r="22" spans="1:14" ht="15" customHeight="1">
      <c r="A22" s="50" t="s">
        <v>371</v>
      </c>
      <c r="B22" s="43" t="str">
        <f>IFERROR(INDEX(Dim_Proyectos!$A:$A,MATCH(A22,Dim_Proyectos!$B:$B,0)),"")</f>
        <v>P015</v>
      </c>
      <c r="C22" s="44" t="s">
        <v>346</v>
      </c>
      <c r="D22" s="44" t="s">
        <v>229</v>
      </c>
      <c r="E22" s="45" t="s">
        <v>320</v>
      </c>
      <c r="F22" s="44"/>
      <c r="G22" s="44"/>
      <c r="H22" s="44"/>
      <c r="I22" s="44"/>
      <c r="J22" s="44"/>
      <c r="K22" s="44" t="s">
        <v>208</v>
      </c>
      <c r="L22" s="46">
        <v>45761</v>
      </c>
      <c r="M22" s="44"/>
      <c r="N22" s="44" t="s">
        <v>372</v>
      </c>
    </row>
    <row r="23" spans="1:14" ht="15" customHeight="1">
      <c r="A23" s="50" t="s">
        <v>354</v>
      </c>
      <c r="B23" s="39" t="str">
        <f>IFERROR(INDEX(Dim_Proyectos!$A:$A,MATCH(A23,Dim_Proyectos!$B:$B,0)),"")</f>
        <v>P008</v>
      </c>
      <c r="C23" s="40" t="s">
        <v>133</v>
      </c>
      <c r="D23" s="40" t="s">
        <v>140</v>
      </c>
      <c r="E23" s="41" t="s">
        <v>373</v>
      </c>
      <c r="F23" s="40" t="s">
        <v>374</v>
      </c>
      <c r="G23" s="40" t="s">
        <v>375</v>
      </c>
      <c r="H23" s="40"/>
      <c r="I23" s="40"/>
      <c r="J23" s="40"/>
      <c r="K23" s="40" t="s">
        <v>136</v>
      </c>
      <c r="L23" s="40"/>
      <c r="M23" s="40"/>
      <c r="N23" s="40"/>
    </row>
    <row r="24" spans="1:14" ht="15" customHeight="1">
      <c r="A24" s="50" t="s">
        <v>354</v>
      </c>
      <c r="B24" s="43" t="str">
        <f>IFERROR(INDEX(Dim_Proyectos!$A:$A,MATCH(A24,Dim_Proyectos!$B:$B,0)),"")</f>
        <v>P008</v>
      </c>
      <c r="C24" s="44" t="s">
        <v>133</v>
      </c>
      <c r="D24" s="44" t="s">
        <v>140</v>
      </c>
      <c r="E24" s="45" t="s">
        <v>376</v>
      </c>
      <c r="F24" s="44" t="s">
        <v>374</v>
      </c>
      <c r="G24" s="44" t="s">
        <v>377</v>
      </c>
      <c r="H24" s="44"/>
      <c r="I24" s="44"/>
      <c r="J24" s="44"/>
      <c r="K24" s="44" t="s">
        <v>230</v>
      </c>
      <c r="L24" s="44"/>
      <c r="M24" s="44"/>
      <c r="N24" s="44"/>
    </row>
    <row r="25" spans="1:14" ht="15" customHeight="1">
      <c r="A25" s="50" t="s">
        <v>354</v>
      </c>
      <c r="B25" s="39" t="str">
        <f>IFERROR(INDEX(Dim_Proyectos!$A:$A,MATCH(A25,Dim_Proyectos!$B:$B,0)),"")</f>
        <v>P008</v>
      </c>
      <c r="C25" s="40" t="s">
        <v>133</v>
      </c>
      <c r="D25" s="40" t="s">
        <v>140</v>
      </c>
      <c r="E25" s="41" t="s">
        <v>378</v>
      </c>
      <c r="F25" s="40" t="s">
        <v>374</v>
      </c>
      <c r="G25" s="40" t="s">
        <v>377</v>
      </c>
      <c r="H25" s="40"/>
      <c r="I25" s="40"/>
      <c r="J25" s="40"/>
      <c r="K25" s="40" t="s">
        <v>136</v>
      </c>
      <c r="L25" s="40"/>
      <c r="M25" s="40"/>
      <c r="N25" s="40"/>
    </row>
    <row r="26" spans="1:14" ht="15" customHeight="1">
      <c r="A26" s="50" t="s">
        <v>354</v>
      </c>
      <c r="B26" s="43" t="str">
        <f>IFERROR(INDEX(Dim_Proyectos!$A:$A,MATCH(A26,Dim_Proyectos!$B:$B,0)),"")</f>
        <v>P008</v>
      </c>
      <c r="C26" s="44" t="s">
        <v>133</v>
      </c>
      <c r="D26" s="44" t="s">
        <v>145</v>
      </c>
      <c r="E26" s="45" t="s">
        <v>379</v>
      </c>
      <c r="F26" s="44" t="s">
        <v>374</v>
      </c>
      <c r="G26" s="44" t="s">
        <v>380</v>
      </c>
      <c r="H26" s="44"/>
      <c r="I26" s="44"/>
      <c r="J26" s="44"/>
      <c r="K26" s="44" t="s">
        <v>136</v>
      </c>
      <c r="L26" s="44"/>
      <c r="M26" s="44"/>
      <c r="N26" s="44"/>
    </row>
    <row r="27" spans="1:14" ht="15" customHeight="1">
      <c r="A27" s="50" t="s">
        <v>354</v>
      </c>
      <c r="B27" s="39" t="str">
        <f>IFERROR(INDEX(Dim_Proyectos!$A:$A,MATCH(A27,Dim_Proyectos!$B:$B,0)),"")</f>
        <v>P008</v>
      </c>
      <c r="C27" s="40" t="s">
        <v>133</v>
      </c>
      <c r="D27" s="40" t="s">
        <v>145</v>
      </c>
      <c r="E27" s="41" t="s">
        <v>379</v>
      </c>
      <c r="F27" s="40" t="s">
        <v>374</v>
      </c>
      <c r="G27" s="40"/>
      <c r="H27" s="40"/>
      <c r="I27" s="40"/>
      <c r="J27" s="40"/>
      <c r="K27" s="40" t="s">
        <v>136</v>
      </c>
      <c r="L27" s="40"/>
      <c r="M27" s="40"/>
      <c r="N27" s="40"/>
    </row>
    <row r="28" spans="1:14" ht="15" customHeight="1">
      <c r="A28" s="50" t="s">
        <v>354</v>
      </c>
      <c r="B28" s="43" t="str">
        <f>IFERROR(INDEX(Dim_Proyectos!$A:$A,MATCH(A28,Dim_Proyectos!$B:$B,0)),"")</f>
        <v>P008</v>
      </c>
      <c r="C28" s="44" t="s">
        <v>133</v>
      </c>
      <c r="D28" s="44" t="s">
        <v>138</v>
      </c>
      <c r="E28" s="45" t="s">
        <v>381</v>
      </c>
      <c r="F28" s="44" t="s">
        <v>374</v>
      </c>
      <c r="G28" s="44"/>
      <c r="H28" s="44"/>
      <c r="I28" s="44"/>
      <c r="J28" s="44"/>
      <c r="K28" s="44" t="s">
        <v>136</v>
      </c>
      <c r="L28" s="44"/>
      <c r="M28" s="44"/>
      <c r="N28" s="44"/>
    </row>
    <row r="29" spans="1:14" ht="15" customHeight="1">
      <c r="A29" s="50" t="s">
        <v>354</v>
      </c>
      <c r="B29" s="39" t="str">
        <f>IFERROR(INDEX(Dim_Proyectos!$A:$A,MATCH(A29,Dim_Proyectos!$B:$B,0)),"")</f>
        <v>P008</v>
      </c>
      <c r="C29" s="40" t="s">
        <v>133</v>
      </c>
      <c r="D29" s="40" t="s">
        <v>138</v>
      </c>
      <c r="E29" s="41" t="s">
        <v>382</v>
      </c>
      <c r="F29" s="40" t="s">
        <v>374</v>
      </c>
      <c r="G29" s="40"/>
      <c r="H29" s="40"/>
      <c r="I29" s="40"/>
      <c r="J29" s="40"/>
      <c r="K29" s="40" t="s">
        <v>147</v>
      </c>
      <c r="L29" s="40"/>
      <c r="M29" s="40"/>
      <c r="N29" s="40"/>
    </row>
    <row r="30" spans="1:14" ht="15" customHeight="1">
      <c r="A30" s="50" t="s">
        <v>354</v>
      </c>
      <c r="B30" s="43" t="str">
        <f>IFERROR(INDEX(Dim_Proyectos!$A:$A,MATCH(A30,Dim_Proyectos!$B:$B,0)),"")</f>
        <v>P008</v>
      </c>
      <c r="C30" s="44" t="s">
        <v>133</v>
      </c>
      <c r="D30" s="44" t="s">
        <v>152</v>
      </c>
      <c r="E30" s="45" t="s">
        <v>383</v>
      </c>
      <c r="F30" s="44" t="s">
        <v>374</v>
      </c>
      <c r="G30" s="44"/>
      <c r="H30" s="44"/>
      <c r="I30" s="44"/>
      <c r="J30" s="44"/>
      <c r="K30" s="44" t="s">
        <v>136</v>
      </c>
      <c r="L30" s="44"/>
      <c r="M30" s="44"/>
      <c r="N30" s="44"/>
    </row>
    <row r="31" spans="1:14" ht="15" customHeight="1">
      <c r="A31" s="50" t="s">
        <v>354</v>
      </c>
      <c r="B31" s="39" t="str">
        <f>IFERROR(INDEX(Dim_Proyectos!$A:$A,MATCH(A31,Dim_Proyectos!$B:$B,0)),"")</f>
        <v>P008</v>
      </c>
      <c r="C31" s="40" t="s">
        <v>133</v>
      </c>
      <c r="D31" s="40" t="s">
        <v>152</v>
      </c>
      <c r="E31" s="41" t="s">
        <v>384</v>
      </c>
      <c r="F31" s="40" t="s">
        <v>374</v>
      </c>
      <c r="G31" s="40"/>
      <c r="H31" s="40"/>
      <c r="I31" s="40"/>
      <c r="J31" s="40"/>
      <c r="K31" s="40" t="s">
        <v>136</v>
      </c>
      <c r="L31" s="40"/>
      <c r="M31" s="40"/>
      <c r="N31" s="40"/>
    </row>
    <row r="32" spans="1:14" ht="15" customHeight="1">
      <c r="A32" s="50" t="s">
        <v>354</v>
      </c>
      <c r="B32" s="43" t="str">
        <f>IFERROR(INDEX(Dim_Proyectos!$A:$A,MATCH(A32,Dim_Proyectos!$B:$B,0)),"")</f>
        <v>P008</v>
      </c>
      <c r="C32" s="44" t="s">
        <v>133</v>
      </c>
      <c r="D32" s="44" t="s">
        <v>152</v>
      </c>
      <c r="E32" s="45" t="s">
        <v>385</v>
      </c>
      <c r="F32" s="44" t="s">
        <v>374</v>
      </c>
      <c r="G32" s="44"/>
      <c r="H32" s="44"/>
      <c r="I32" s="44"/>
      <c r="J32" s="44"/>
      <c r="K32" s="44" t="s">
        <v>136</v>
      </c>
      <c r="L32" s="44"/>
      <c r="M32" s="44"/>
      <c r="N32" s="44"/>
    </row>
    <row r="33" spans="1:14" ht="15" customHeight="1">
      <c r="A33" s="50" t="s">
        <v>354</v>
      </c>
      <c r="B33" s="39" t="str">
        <f>IFERROR(INDEX(Dim_Proyectos!$A:$A,MATCH(A33,Dim_Proyectos!$B:$B,0)),"")</f>
        <v>P008</v>
      </c>
      <c r="C33" s="40" t="s">
        <v>133</v>
      </c>
      <c r="D33" s="40" t="s">
        <v>152</v>
      </c>
      <c r="E33" s="41" t="s">
        <v>386</v>
      </c>
      <c r="F33" s="40" t="s">
        <v>374</v>
      </c>
      <c r="G33" s="40"/>
      <c r="H33" s="40"/>
      <c r="I33" s="40"/>
      <c r="J33" s="40"/>
      <c r="K33" s="40" t="s">
        <v>136</v>
      </c>
      <c r="L33" s="40"/>
      <c r="M33" s="40"/>
      <c r="N33" s="40"/>
    </row>
    <row r="34" spans="1:14" ht="15" customHeight="1">
      <c r="A34" s="50" t="s">
        <v>354</v>
      </c>
      <c r="B34" s="43" t="str">
        <f>IFERROR(INDEX(Dim_Proyectos!$A:$A,MATCH(A34,Dim_Proyectos!$B:$B,0)),"")</f>
        <v>P008</v>
      </c>
      <c r="C34" s="44" t="s">
        <v>133</v>
      </c>
      <c r="D34" s="44" t="s">
        <v>152</v>
      </c>
      <c r="E34" s="45" t="s">
        <v>387</v>
      </c>
      <c r="F34" s="44" t="s">
        <v>374</v>
      </c>
      <c r="G34" s="44"/>
      <c r="H34" s="44"/>
      <c r="I34" s="44"/>
      <c r="J34" s="44"/>
      <c r="K34" s="44" t="s">
        <v>136</v>
      </c>
      <c r="L34" s="44"/>
      <c r="M34" s="44"/>
      <c r="N34" s="44"/>
    </row>
    <row r="35" spans="1:14" ht="15" customHeight="1">
      <c r="A35" s="50" t="s">
        <v>354</v>
      </c>
      <c r="B35" s="39" t="str">
        <f>IFERROR(INDEX(Dim_Proyectos!$A:$A,MATCH(A35,Dim_Proyectos!$B:$B,0)),"")</f>
        <v>P008</v>
      </c>
      <c r="C35" s="40" t="s">
        <v>133</v>
      </c>
      <c r="D35" s="40" t="s">
        <v>152</v>
      </c>
      <c r="E35" s="41" t="s">
        <v>388</v>
      </c>
      <c r="F35" s="40" t="s">
        <v>374</v>
      </c>
      <c r="G35" s="40"/>
      <c r="H35" s="40"/>
      <c r="I35" s="40"/>
      <c r="J35" s="40"/>
      <c r="K35" s="40" t="s">
        <v>136</v>
      </c>
      <c r="L35" s="40"/>
      <c r="M35" s="40"/>
      <c r="N35" s="40"/>
    </row>
    <row r="36" spans="1:14" ht="15" customHeight="1">
      <c r="A36" s="50" t="s">
        <v>354</v>
      </c>
      <c r="B36" s="43" t="str">
        <f>IFERROR(INDEX(Dim_Proyectos!$A:$A,MATCH(A36,Dim_Proyectos!$B:$B,0)),"")</f>
        <v>P008</v>
      </c>
      <c r="C36" s="44" t="s">
        <v>133</v>
      </c>
      <c r="D36" s="44" t="s">
        <v>157</v>
      </c>
      <c r="E36" s="45" t="s">
        <v>389</v>
      </c>
      <c r="F36" s="44" t="s">
        <v>374</v>
      </c>
      <c r="G36" s="44"/>
      <c r="H36" s="44"/>
      <c r="I36" s="44"/>
      <c r="J36" s="44"/>
      <c r="K36" s="44" t="s">
        <v>230</v>
      </c>
      <c r="L36" s="44"/>
      <c r="M36" s="44"/>
      <c r="N36" s="44"/>
    </row>
    <row r="37" spans="1:14" ht="15" customHeight="1">
      <c r="A37" s="50" t="s">
        <v>354</v>
      </c>
      <c r="B37" s="39" t="str">
        <f>IFERROR(INDEX(Dim_Proyectos!$A:$A,MATCH(A37,Dim_Proyectos!$B:$B,0)),"")</f>
        <v>P008</v>
      </c>
      <c r="C37" s="40" t="s">
        <v>133</v>
      </c>
      <c r="D37" s="40" t="s">
        <v>157</v>
      </c>
      <c r="E37" s="41" t="s">
        <v>389</v>
      </c>
      <c r="F37" s="40" t="s">
        <v>374</v>
      </c>
      <c r="G37" s="40"/>
      <c r="H37" s="40"/>
      <c r="I37" s="40"/>
      <c r="J37" s="40"/>
      <c r="K37" s="40" t="s">
        <v>147</v>
      </c>
      <c r="L37" s="40"/>
      <c r="M37" s="40"/>
      <c r="N37" s="40"/>
    </row>
    <row r="38" spans="1:14" ht="15" customHeight="1">
      <c r="A38" s="50" t="s">
        <v>354</v>
      </c>
      <c r="B38" s="43" t="str">
        <f>IFERROR(INDEX(Dim_Proyectos!$A:$A,MATCH(A38,Dim_Proyectos!$B:$B,0)),"")</f>
        <v>P008</v>
      </c>
      <c r="C38" s="44" t="s">
        <v>133</v>
      </c>
      <c r="D38" s="44" t="s">
        <v>157</v>
      </c>
      <c r="E38" s="45" t="s">
        <v>389</v>
      </c>
      <c r="F38" s="44" t="s">
        <v>374</v>
      </c>
      <c r="G38" s="44"/>
      <c r="H38" s="44"/>
      <c r="I38" s="44"/>
      <c r="J38" s="44"/>
      <c r="K38" s="44" t="s">
        <v>147</v>
      </c>
      <c r="L38" s="44"/>
      <c r="M38" s="44"/>
      <c r="N38" s="44"/>
    </row>
    <row r="39" spans="1:14" ht="15" customHeight="1">
      <c r="A39" s="50" t="s">
        <v>354</v>
      </c>
      <c r="B39" s="39" t="str">
        <f>IFERROR(INDEX(Dim_Proyectos!$A:$A,MATCH(A39,Dim_Proyectos!$B:$B,0)),"")</f>
        <v>P008</v>
      </c>
      <c r="C39" s="40" t="s">
        <v>133</v>
      </c>
      <c r="D39" s="40" t="s">
        <v>157</v>
      </c>
      <c r="E39" s="41" t="s">
        <v>389</v>
      </c>
      <c r="F39" s="40" t="s">
        <v>374</v>
      </c>
      <c r="G39" s="40"/>
      <c r="H39" s="40"/>
      <c r="I39" s="40"/>
      <c r="J39" s="40"/>
      <c r="K39" s="40" t="s">
        <v>147</v>
      </c>
      <c r="L39" s="40"/>
      <c r="M39" s="40"/>
      <c r="N39" s="40"/>
    </row>
    <row r="40" spans="1:14" ht="15" customHeight="1">
      <c r="A40" s="50" t="s">
        <v>354</v>
      </c>
      <c r="B40" s="43" t="str">
        <f>IFERROR(INDEX(Dim_Proyectos!$A:$A,MATCH(A40,Dim_Proyectos!$B:$B,0)),"")</f>
        <v>P008</v>
      </c>
      <c r="C40" s="44" t="s">
        <v>133</v>
      </c>
      <c r="D40" s="44" t="s">
        <v>157</v>
      </c>
      <c r="E40" s="45" t="s">
        <v>389</v>
      </c>
      <c r="F40" s="44" t="s">
        <v>374</v>
      </c>
      <c r="G40" s="44"/>
      <c r="H40" s="44"/>
      <c r="I40" s="44"/>
      <c r="J40" s="44"/>
      <c r="K40" s="44" t="s">
        <v>147</v>
      </c>
      <c r="L40" s="44"/>
      <c r="M40" s="44"/>
      <c r="N40" s="44"/>
    </row>
    <row r="41" spans="1:14" ht="15" customHeight="1">
      <c r="A41" s="50" t="s">
        <v>354</v>
      </c>
      <c r="B41" s="39" t="str">
        <f>IFERROR(INDEX(Dim_Proyectos!$A:$A,MATCH(A41,Dim_Proyectos!$B:$B,0)),"")</f>
        <v>P008</v>
      </c>
      <c r="C41" s="40" t="s">
        <v>133</v>
      </c>
      <c r="D41" s="40" t="s">
        <v>157</v>
      </c>
      <c r="E41" s="41" t="s">
        <v>389</v>
      </c>
      <c r="F41" s="40" t="s">
        <v>374</v>
      </c>
      <c r="G41" s="40"/>
      <c r="H41" s="40"/>
      <c r="I41" s="40"/>
      <c r="J41" s="40"/>
      <c r="K41" s="40" t="s">
        <v>147</v>
      </c>
      <c r="L41" s="40"/>
      <c r="M41" s="40"/>
      <c r="N41" s="40"/>
    </row>
    <row r="42" spans="1:14" ht="15" customHeight="1">
      <c r="A42" s="50" t="s">
        <v>354</v>
      </c>
      <c r="B42" s="43" t="str">
        <f>IFERROR(INDEX(Dim_Proyectos!$A:$A,MATCH(A42,Dim_Proyectos!$B:$B,0)),"")</f>
        <v>P008</v>
      </c>
      <c r="C42" s="44" t="s">
        <v>133</v>
      </c>
      <c r="D42" s="44" t="s">
        <v>157</v>
      </c>
      <c r="E42" s="45" t="s">
        <v>389</v>
      </c>
      <c r="F42" s="44" t="s">
        <v>374</v>
      </c>
      <c r="G42" s="44"/>
      <c r="H42" s="44"/>
      <c r="I42" s="44"/>
      <c r="J42" s="44"/>
      <c r="K42" s="44" t="s">
        <v>230</v>
      </c>
      <c r="L42" s="44"/>
      <c r="M42" s="44"/>
      <c r="N42" s="44"/>
    </row>
    <row r="43" spans="1:14" ht="15" customHeight="1">
      <c r="A43" s="50" t="s">
        <v>354</v>
      </c>
      <c r="B43" s="39" t="str">
        <f>IFERROR(INDEX(Dim_Proyectos!$A:$A,MATCH(A43,Dim_Proyectos!$B:$B,0)),"")</f>
        <v>P008</v>
      </c>
      <c r="C43" s="40" t="s">
        <v>133</v>
      </c>
      <c r="D43" s="40" t="s">
        <v>157</v>
      </c>
      <c r="E43" s="41" t="s">
        <v>390</v>
      </c>
      <c r="F43" s="40" t="s">
        <v>374</v>
      </c>
      <c r="G43" s="40"/>
      <c r="H43" s="40"/>
      <c r="I43" s="40"/>
      <c r="J43" s="40"/>
      <c r="K43" s="40" t="s">
        <v>136</v>
      </c>
      <c r="L43" s="40"/>
      <c r="M43" s="40"/>
      <c r="N43" s="40"/>
    </row>
    <row r="44" spans="1:14" ht="15" customHeight="1">
      <c r="A44" s="50" t="s">
        <v>354</v>
      </c>
      <c r="B44" s="43" t="str">
        <f>IFERROR(INDEX(Dim_Proyectos!$A:$A,MATCH(A44,Dim_Proyectos!$B:$B,0)),"")</f>
        <v>P008</v>
      </c>
      <c r="C44" s="44" t="s">
        <v>133</v>
      </c>
      <c r="D44" s="44" t="s">
        <v>157</v>
      </c>
      <c r="E44" s="45" t="s">
        <v>391</v>
      </c>
      <c r="F44" s="44" t="s">
        <v>374</v>
      </c>
      <c r="G44" s="44"/>
      <c r="H44" s="44"/>
      <c r="I44" s="44"/>
      <c r="J44" s="44"/>
      <c r="K44" s="44" t="s">
        <v>136</v>
      </c>
      <c r="L44" s="44"/>
      <c r="M44" s="44"/>
      <c r="N44" s="44"/>
    </row>
    <row r="45" spans="1:14" ht="15" customHeight="1">
      <c r="A45" s="50" t="s">
        <v>354</v>
      </c>
      <c r="B45" s="39" t="str">
        <f>IFERROR(INDEX(Dim_Proyectos!$A:$A,MATCH(A45,Dim_Proyectos!$B:$B,0)),"")</f>
        <v>P008</v>
      </c>
      <c r="C45" s="40" t="s">
        <v>133</v>
      </c>
      <c r="D45" s="40" t="s">
        <v>157</v>
      </c>
      <c r="E45" s="41" t="s">
        <v>392</v>
      </c>
      <c r="F45" s="40" t="s">
        <v>374</v>
      </c>
      <c r="G45" s="40"/>
      <c r="H45" s="40"/>
      <c r="I45" s="40"/>
      <c r="J45" s="40"/>
      <c r="K45" s="40" t="s">
        <v>136</v>
      </c>
      <c r="L45" s="40"/>
      <c r="M45" s="40"/>
      <c r="N45" s="40"/>
    </row>
    <row r="46" spans="1:14" ht="15" customHeight="1">
      <c r="A46" s="50" t="s">
        <v>354</v>
      </c>
      <c r="B46" s="43" t="str">
        <f>IFERROR(INDEX(Dim_Proyectos!$A:$A,MATCH(A46,Dim_Proyectos!$B:$B,0)),"")</f>
        <v>P008</v>
      </c>
      <c r="C46" s="44" t="s">
        <v>133</v>
      </c>
      <c r="D46" s="44" t="s">
        <v>157</v>
      </c>
      <c r="E46" s="45" t="s">
        <v>393</v>
      </c>
      <c r="F46" s="44" t="s">
        <v>374</v>
      </c>
      <c r="G46" s="44"/>
      <c r="H46" s="44"/>
      <c r="I46" s="44"/>
      <c r="J46" s="44"/>
      <c r="K46" s="44" t="s">
        <v>136</v>
      </c>
      <c r="L46" s="44"/>
      <c r="M46" s="44"/>
      <c r="N46" s="44"/>
    </row>
    <row r="47" spans="1:14" ht="15" customHeight="1">
      <c r="A47" s="50" t="s">
        <v>354</v>
      </c>
      <c r="B47" s="39" t="str">
        <f>IFERROR(INDEX(Dim_Proyectos!$A:$A,MATCH(A47,Dim_Proyectos!$B:$B,0)),"")</f>
        <v>P008</v>
      </c>
      <c r="C47" s="40" t="s">
        <v>133</v>
      </c>
      <c r="D47" s="40" t="s">
        <v>157</v>
      </c>
      <c r="E47" s="41" t="s">
        <v>394</v>
      </c>
      <c r="F47" s="40" t="s">
        <v>374</v>
      </c>
      <c r="G47" s="40"/>
      <c r="H47" s="40"/>
      <c r="I47" s="40"/>
      <c r="J47" s="40"/>
      <c r="K47" s="40" t="s">
        <v>136</v>
      </c>
      <c r="L47" s="40"/>
      <c r="M47" s="40"/>
      <c r="N47" s="40"/>
    </row>
    <row r="48" spans="1:14" ht="15" customHeight="1">
      <c r="A48" s="50" t="s">
        <v>354</v>
      </c>
      <c r="B48" s="43" t="str">
        <f>IFERROR(INDEX(Dim_Proyectos!$A:$A,MATCH(A48,Dim_Proyectos!$B:$B,0)),"")</f>
        <v>P008</v>
      </c>
      <c r="C48" s="44" t="s">
        <v>133</v>
      </c>
      <c r="D48" s="44" t="s">
        <v>150</v>
      </c>
      <c r="E48" s="45" t="s">
        <v>395</v>
      </c>
      <c r="F48" s="44" t="s">
        <v>374</v>
      </c>
      <c r="G48" s="44"/>
      <c r="H48" s="44"/>
      <c r="I48" s="44"/>
      <c r="J48" s="44"/>
      <c r="K48" s="44" t="s">
        <v>230</v>
      </c>
      <c r="L48" s="44"/>
      <c r="M48" s="44"/>
      <c r="N48" s="44"/>
    </row>
    <row r="49" spans="1:14" ht="15" customHeight="1">
      <c r="A49" s="50" t="s">
        <v>354</v>
      </c>
      <c r="B49" s="39" t="str">
        <f>IFERROR(INDEX(Dim_Proyectos!$A:$A,MATCH(A49,Dim_Proyectos!$B:$B,0)),"")</f>
        <v>P008</v>
      </c>
      <c r="C49" s="40" t="s">
        <v>133</v>
      </c>
      <c r="D49" s="40" t="s">
        <v>150</v>
      </c>
      <c r="E49" s="41" t="s">
        <v>395</v>
      </c>
      <c r="F49" s="40" t="s">
        <v>374</v>
      </c>
      <c r="G49" s="40"/>
      <c r="H49" s="40"/>
      <c r="I49" s="40"/>
      <c r="J49" s="40"/>
      <c r="K49" s="40" t="s">
        <v>230</v>
      </c>
      <c r="L49" s="40"/>
      <c r="M49" s="40"/>
      <c r="N49" s="40"/>
    </row>
    <row r="50" spans="1:14" ht="15" customHeight="1">
      <c r="A50" s="50" t="s">
        <v>354</v>
      </c>
      <c r="B50" s="43" t="str">
        <f>IFERROR(INDEX(Dim_Proyectos!$A:$A,MATCH(A50,Dim_Proyectos!$B:$B,0)),"")</f>
        <v>P008</v>
      </c>
      <c r="C50" s="44" t="s">
        <v>133</v>
      </c>
      <c r="D50" s="44" t="s">
        <v>200</v>
      </c>
      <c r="E50" s="45" t="s">
        <v>396</v>
      </c>
      <c r="F50" s="44"/>
      <c r="G50" s="44"/>
      <c r="H50" s="44"/>
      <c r="I50" s="44"/>
      <c r="J50" s="44"/>
      <c r="K50" s="44" t="s">
        <v>230</v>
      </c>
      <c r="L50" s="44"/>
      <c r="M50" s="44"/>
      <c r="N50" s="44"/>
    </row>
    <row r="51" spans="1:14" ht="15" customHeight="1">
      <c r="A51" s="50" t="s">
        <v>354</v>
      </c>
      <c r="B51" s="39" t="str">
        <f>IFERROR(INDEX(Dim_Proyectos!$A:$A,MATCH(A51,Dim_Proyectos!$B:$B,0)),"")</f>
        <v>P008</v>
      </c>
      <c r="C51" s="40" t="s">
        <v>133</v>
      </c>
      <c r="D51" s="40" t="s">
        <v>200</v>
      </c>
      <c r="E51" s="41" t="s">
        <v>396</v>
      </c>
      <c r="F51" s="40"/>
      <c r="G51" s="40"/>
      <c r="H51" s="40"/>
      <c r="I51" s="40"/>
      <c r="J51" s="40"/>
      <c r="K51" s="40" t="s">
        <v>230</v>
      </c>
      <c r="L51" s="40"/>
      <c r="M51" s="40"/>
      <c r="N51" s="40"/>
    </row>
    <row r="52" spans="1:14" ht="15" customHeight="1">
      <c r="A52" s="50" t="s">
        <v>354</v>
      </c>
      <c r="B52" s="43" t="str">
        <f>IFERROR(INDEX(Dim_Proyectos!$A:$A,MATCH(A52,Dim_Proyectos!$B:$B,0)),"")</f>
        <v>P008</v>
      </c>
      <c r="C52" s="44" t="s">
        <v>133</v>
      </c>
      <c r="D52" s="44" t="s">
        <v>200</v>
      </c>
      <c r="E52" s="45" t="s">
        <v>396</v>
      </c>
      <c r="F52" s="44"/>
      <c r="G52" s="44"/>
      <c r="H52" s="44"/>
      <c r="I52" s="44"/>
      <c r="J52" s="44"/>
      <c r="K52" s="44" t="s">
        <v>230</v>
      </c>
      <c r="L52" s="44"/>
      <c r="M52" s="44"/>
      <c r="N52" s="44"/>
    </row>
    <row r="53" spans="1:14" ht="15" customHeight="1">
      <c r="A53" s="50" t="s">
        <v>354</v>
      </c>
      <c r="B53" s="39" t="str">
        <f>IFERROR(INDEX(Dim_Proyectos!$A:$A,MATCH(A53,Dim_Proyectos!$B:$B,0)),"")</f>
        <v>P008</v>
      </c>
      <c r="C53" s="40" t="s">
        <v>133</v>
      </c>
      <c r="D53" s="40" t="s">
        <v>200</v>
      </c>
      <c r="E53" s="41" t="s">
        <v>396</v>
      </c>
      <c r="F53" s="40"/>
      <c r="G53" s="40"/>
      <c r="H53" s="40"/>
      <c r="I53" s="40"/>
      <c r="J53" s="40"/>
      <c r="K53" s="40" t="s">
        <v>230</v>
      </c>
      <c r="L53" s="40"/>
      <c r="M53" s="40"/>
      <c r="N53" s="40"/>
    </row>
    <row r="54" spans="1:14" ht="20.25" customHeight="1">
      <c r="A54" s="50" t="s">
        <v>354</v>
      </c>
      <c r="B54" s="43" t="str">
        <f>IFERROR(INDEX(Dim_Proyectos!$A:$A,MATCH(A54,Dim_Proyectos!$B:$B,0)),"")</f>
        <v>P008</v>
      </c>
      <c r="C54" s="44" t="s">
        <v>133</v>
      </c>
      <c r="D54" s="44" t="s">
        <v>200</v>
      </c>
      <c r="E54" s="45" t="s">
        <v>397</v>
      </c>
      <c r="F54" s="44"/>
      <c r="G54" s="44"/>
      <c r="H54" s="44"/>
      <c r="I54" s="44"/>
      <c r="J54" s="44"/>
      <c r="K54" s="44" t="s">
        <v>230</v>
      </c>
      <c r="L54" s="44"/>
      <c r="M54" s="44"/>
      <c r="N54" s="44"/>
    </row>
    <row r="55" spans="1:14" ht="15" customHeight="1">
      <c r="A55" s="50" t="s">
        <v>354</v>
      </c>
      <c r="B55" s="39" t="str">
        <f>IFERROR(INDEX(Dim_Proyectos!$A:$A,MATCH(A55,Dim_Proyectos!$B:$B,0)),"")</f>
        <v>P008</v>
      </c>
      <c r="C55" s="40" t="s">
        <v>133</v>
      </c>
      <c r="D55" s="40" t="s">
        <v>200</v>
      </c>
      <c r="E55" s="41" t="s">
        <v>398</v>
      </c>
      <c r="F55" s="40"/>
      <c r="G55" s="40"/>
      <c r="H55" s="40"/>
      <c r="I55" s="40"/>
      <c r="J55" s="40"/>
      <c r="K55" s="40" t="s">
        <v>230</v>
      </c>
      <c r="L55" s="40"/>
      <c r="M55" s="40"/>
      <c r="N55" s="40"/>
    </row>
    <row r="56" spans="1:14" ht="15" customHeight="1">
      <c r="A56" s="50" t="s">
        <v>354</v>
      </c>
      <c r="B56" s="43" t="str">
        <f>IFERROR(INDEX(Dim_Proyectos!$A:$A,MATCH(A56,Dim_Proyectos!$B:$B,0)),"")</f>
        <v>P008</v>
      </c>
      <c r="C56" s="44" t="s">
        <v>133</v>
      </c>
      <c r="D56" s="44" t="s">
        <v>200</v>
      </c>
      <c r="E56" s="45" t="s">
        <v>399</v>
      </c>
      <c r="F56" s="44"/>
      <c r="G56" s="44"/>
      <c r="H56" s="44"/>
      <c r="I56" s="44"/>
      <c r="J56" s="44"/>
      <c r="K56" s="44" t="s">
        <v>230</v>
      </c>
      <c r="L56" s="44"/>
      <c r="M56" s="44"/>
      <c r="N56" s="44"/>
    </row>
    <row r="57" spans="1:14" ht="15" customHeight="1">
      <c r="A57" s="50" t="s">
        <v>354</v>
      </c>
      <c r="B57" s="39" t="str">
        <f>IFERROR(INDEX(Dim_Proyectos!$A:$A,MATCH(A57,Dim_Proyectos!$B:$B,0)),"")</f>
        <v>P008</v>
      </c>
      <c r="C57" s="40" t="s">
        <v>133</v>
      </c>
      <c r="D57" s="40" t="s">
        <v>200</v>
      </c>
      <c r="E57" s="41" t="s">
        <v>400</v>
      </c>
      <c r="F57" s="40"/>
      <c r="G57" s="40"/>
      <c r="H57" s="40"/>
      <c r="I57" s="40"/>
      <c r="J57" s="40"/>
      <c r="K57" s="40" t="s">
        <v>136</v>
      </c>
      <c r="L57" s="40"/>
      <c r="M57" s="40"/>
      <c r="N57" s="40"/>
    </row>
    <row r="58" spans="1:14" ht="20.25" customHeight="1">
      <c r="A58" s="50" t="s">
        <v>354</v>
      </c>
      <c r="B58" s="43" t="str">
        <f>IFERROR(INDEX(Dim_Proyectos!$A:$A,MATCH(A58,Dim_Proyectos!$B:$B,0)),"")</f>
        <v>P008</v>
      </c>
      <c r="C58" s="44" t="s">
        <v>133</v>
      </c>
      <c r="D58" s="44" t="s">
        <v>200</v>
      </c>
      <c r="E58" s="45" t="s">
        <v>397</v>
      </c>
      <c r="F58" s="44"/>
      <c r="G58" s="44"/>
      <c r="H58" s="44"/>
      <c r="I58" s="44"/>
      <c r="J58" s="44"/>
      <c r="K58" s="44" t="s">
        <v>136</v>
      </c>
      <c r="L58" s="44"/>
      <c r="M58" s="44"/>
      <c r="N58" s="44"/>
    </row>
    <row r="59" spans="1:14" ht="15" customHeight="1">
      <c r="A59" s="50" t="s">
        <v>354</v>
      </c>
      <c r="B59" s="39" t="str">
        <f>IFERROR(INDEX(Dim_Proyectos!$A:$A,MATCH(A59,Dim_Proyectos!$B:$B,0)),"")</f>
        <v>P008</v>
      </c>
      <c r="C59" s="40" t="s">
        <v>133</v>
      </c>
      <c r="D59" s="40" t="s">
        <v>200</v>
      </c>
      <c r="E59" s="41" t="s">
        <v>399</v>
      </c>
      <c r="F59" s="40"/>
      <c r="G59" s="40"/>
      <c r="H59" s="40"/>
      <c r="I59" s="40"/>
      <c r="J59" s="40"/>
      <c r="K59" s="40" t="s">
        <v>136</v>
      </c>
      <c r="L59" s="40"/>
      <c r="M59" s="40"/>
      <c r="N59" s="40"/>
    </row>
    <row r="60" spans="1:14" ht="15" customHeight="1">
      <c r="A60" s="50" t="s">
        <v>354</v>
      </c>
      <c r="B60" s="43" t="str">
        <f>IFERROR(INDEX(Dim_Proyectos!$A:$A,MATCH(A60,Dim_Proyectos!$B:$B,0)),"")</f>
        <v>P008</v>
      </c>
      <c r="C60" s="44" t="s">
        <v>133</v>
      </c>
      <c r="D60" s="44" t="s">
        <v>200</v>
      </c>
      <c r="E60" s="45" t="s">
        <v>401</v>
      </c>
      <c r="F60" s="44"/>
      <c r="G60" s="44"/>
      <c r="H60" s="44"/>
      <c r="I60" s="44"/>
      <c r="J60" s="44"/>
      <c r="K60" s="44" t="s">
        <v>136</v>
      </c>
      <c r="L60" s="44"/>
      <c r="M60" s="44"/>
      <c r="N60" s="44"/>
    </row>
    <row r="61" spans="1:14" ht="15" customHeight="1">
      <c r="A61" s="50" t="s">
        <v>354</v>
      </c>
      <c r="B61" s="39" t="str">
        <f>IFERROR(INDEX(Dim_Proyectos!$A:$A,MATCH(A61,Dim_Proyectos!$B:$B,0)),"")</f>
        <v>P008</v>
      </c>
      <c r="C61" s="40" t="s">
        <v>133</v>
      </c>
      <c r="D61" s="40" t="s">
        <v>204</v>
      </c>
      <c r="E61" s="41" t="s">
        <v>402</v>
      </c>
      <c r="F61" s="40"/>
      <c r="G61" s="40"/>
      <c r="H61" s="40"/>
      <c r="I61" s="40"/>
      <c r="J61" s="40"/>
      <c r="K61" s="40" t="s">
        <v>136</v>
      </c>
      <c r="L61" s="40"/>
      <c r="M61" s="40"/>
      <c r="N61" s="40"/>
    </row>
    <row r="62" spans="1:14" ht="15" customHeight="1">
      <c r="A62" s="50" t="s">
        <v>354</v>
      </c>
      <c r="B62" s="43" t="str">
        <f>IFERROR(INDEX(Dim_Proyectos!$A:$A,MATCH(A62,Dim_Proyectos!$B:$B,0)),"")</f>
        <v>P008</v>
      </c>
      <c r="C62" s="44" t="s">
        <v>133</v>
      </c>
      <c r="D62" s="44" t="s">
        <v>204</v>
      </c>
      <c r="E62" s="45" t="s">
        <v>403</v>
      </c>
      <c r="F62" s="44"/>
      <c r="G62" s="44"/>
      <c r="H62" s="44"/>
      <c r="I62" s="44"/>
      <c r="J62" s="44"/>
      <c r="K62" s="44" t="s">
        <v>136</v>
      </c>
      <c r="L62" s="44"/>
      <c r="M62" s="44"/>
      <c r="N62" s="44"/>
    </row>
    <row r="63" spans="1:14" ht="15" customHeight="1">
      <c r="A63" s="50" t="s">
        <v>354</v>
      </c>
      <c r="B63" s="39" t="str">
        <f>IFERROR(INDEX(Dim_Proyectos!$A:$A,MATCH(A63,Dim_Proyectos!$B:$B,0)),"")</f>
        <v>P008</v>
      </c>
      <c r="C63" s="40" t="s">
        <v>133</v>
      </c>
      <c r="D63" s="40" t="s">
        <v>202</v>
      </c>
      <c r="E63" s="41" t="s">
        <v>396</v>
      </c>
      <c r="F63" s="40"/>
      <c r="G63" s="40"/>
      <c r="H63" s="40"/>
      <c r="I63" s="40"/>
      <c r="J63" s="40"/>
      <c r="K63" s="40" t="s">
        <v>230</v>
      </c>
      <c r="L63" s="40"/>
      <c r="M63" s="40"/>
      <c r="N63" s="40"/>
    </row>
    <row r="64" spans="1:14" ht="15" customHeight="1">
      <c r="A64" s="50" t="s">
        <v>354</v>
      </c>
      <c r="B64" s="43" t="str">
        <f>IFERROR(INDEX(Dim_Proyectos!$A:$A,MATCH(A64,Dim_Proyectos!$B:$B,0)),"")</f>
        <v>P008</v>
      </c>
      <c r="C64" s="44" t="s">
        <v>133</v>
      </c>
      <c r="D64" s="44" t="s">
        <v>202</v>
      </c>
      <c r="E64" s="45" t="s">
        <v>396</v>
      </c>
      <c r="F64" s="44"/>
      <c r="G64" s="44"/>
      <c r="H64" s="44"/>
      <c r="I64" s="44"/>
      <c r="J64" s="44"/>
      <c r="K64" s="44" t="s">
        <v>230</v>
      </c>
      <c r="L64" s="44"/>
      <c r="M64" s="44"/>
      <c r="N64" s="44"/>
    </row>
    <row r="65" spans="1:14" ht="15" customHeight="1">
      <c r="A65" s="50" t="s">
        <v>354</v>
      </c>
      <c r="B65" s="39" t="str">
        <f>IFERROR(INDEX(Dim_Proyectos!$A:$A,MATCH(A65,Dim_Proyectos!$B:$B,0)),"")</f>
        <v>P008</v>
      </c>
      <c r="C65" s="40" t="s">
        <v>133</v>
      </c>
      <c r="D65" s="40" t="s">
        <v>202</v>
      </c>
      <c r="E65" s="41" t="s">
        <v>396</v>
      </c>
      <c r="F65" s="40"/>
      <c r="G65" s="40"/>
      <c r="H65" s="40"/>
      <c r="I65" s="40"/>
      <c r="J65" s="40"/>
      <c r="K65" s="40" t="s">
        <v>230</v>
      </c>
      <c r="L65" s="40"/>
      <c r="M65" s="40"/>
      <c r="N65" s="40"/>
    </row>
    <row r="66" spans="1:14" ht="15" customHeight="1">
      <c r="A66" s="50" t="s">
        <v>354</v>
      </c>
      <c r="B66" s="43" t="str">
        <f>IFERROR(INDEX(Dim_Proyectos!$A:$A,MATCH(A66,Dim_Proyectos!$B:$B,0)),"")</f>
        <v>P008</v>
      </c>
      <c r="C66" s="44" t="s">
        <v>133</v>
      </c>
      <c r="D66" s="44" t="s">
        <v>202</v>
      </c>
      <c r="E66" s="45" t="s">
        <v>396</v>
      </c>
      <c r="F66" s="44"/>
      <c r="G66" s="44"/>
      <c r="H66" s="44"/>
      <c r="I66" s="44"/>
      <c r="J66" s="44"/>
      <c r="K66" s="44" t="s">
        <v>230</v>
      </c>
      <c r="L66" s="44"/>
      <c r="M66" s="44"/>
      <c r="N66" s="44"/>
    </row>
    <row r="67" spans="1:14" ht="15" customHeight="1">
      <c r="A67" s="50" t="s">
        <v>354</v>
      </c>
      <c r="B67" s="39" t="str">
        <f>IFERROR(INDEX(Dim_Proyectos!$A:$A,MATCH(A67,Dim_Proyectos!$B:$B,0)),"")</f>
        <v>P008</v>
      </c>
      <c r="C67" s="40" t="s">
        <v>133</v>
      </c>
      <c r="D67" s="40" t="s">
        <v>202</v>
      </c>
      <c r="E67" s="41" t="s">
        <v>396</v>
      </c>
      <c r="F67" s="40"/>
      <c r="G67" s="40"/>
      <c r="H67" s="40"/>
      <c r="I67" s="40"/>
      <c r="J67" s="40"/>
      <c r="K67" s="40" t="s">
        <v>230</v>
      </c>
      <c r="L67" s="40"/>
      <c r="M67" s="40"/>
      <c r="N67" s="40"/>
    </row>
    <row r="68" spans="1:14" ht="15" customHeight="1">
      <c r="A68" s="50" t="s">
        <v>354</v>
      </c>
      <c r="B68" s="43" t="str">
        <f>IFERROR(INDEX(Dim_Proyectos!$A:$A,MATCH(A68,Dim_Proyectos!$B:$B,0)),"")</f>
        <v>P008</v>
      </c>
      <c r="C68" s="44" t="s">
        <v>133</v>
      </c>
      <c r="D68" s="44" t="s">
        <v>202</v>
      </c>
      <c r="E68" s="45" t="s">
        <v>396</v>
      </c>
      <c r="F68" s="44"/>
      <c r="G68" s="44"/>
      <c r="H68" s="44"/>
      <c r="I68" s="44"/>
      <c r="J68" s="44"/>
      <c r="K68" s="44" t="s">
        <v>230</v>
      </c>
      <c r="L68" s="44"/>
      <c r="M68" s="44"/>
      <c r="N68" s="44"/>
    </row>
    <row r="69" spans="1:14" ht="15" customHeight="1">
      <c r="A69" s="50" t="s">
        <v>354</v>
      </c>
      <c r="B69" s="39" t="str">
        <f>IFERROR(INDEX(Dim_Proyectos!$A:$A,MATCH(A69,Dim_Proyectos!$B:$B,0)),"")</f>
        <v>P008</v>
      </c>
      <c r="C69" s="40" t="s">
        <v>133</v>
      </c>
      <c r="D69" s="40" t="s">
        <v>202</v>
      </c>
      <c r="E69" s="41" t="s">
        <v>396</v>
      </c>
      <c r="F69" s="40"/>
      <c r="G69" s="40"/>
      <c r="H69" s="40"/>
      <c r="I69" s="40"/>
      <c r="J69" s="40"/>
      <c r="K69" s="40" t="s">
        <v>230</v>
      </c>
      <c r="L69" s="40"/>
      <c r="M69" s="40"/>
      <c r="N69" s="40"/>
    </row>
    <row r="70" spans="1:14" ht="15" customHeight="1">
      <c r="A70" s="50" t="s">
        <v>354</v>
      </c>
      <c r="B70" s="43" t="str">
        <f>IFERROR(INDEX(Dim_Proyectos!$A:$A,MATCH(A70,Dim_Proyectos!$B:$B,0)),"")</f>
        <v>P008</v>
      </c>
      <c r="C70" s="44" t="s">
        <v>133</v>
      </c>
      <c r="D70" s="44" t="s">
        <v>202</v>
      </c>
      <c r="E70" s="45" t="s">
        <v>396</v>
      </c>
      <c r="F70" s="44"/>
      <c r="G70" s="44"/>
      <c r="H70" s="44"/>
      <c r="I70" s="44"/>
      <c r="J70" s="44"/>
      <c r="K70" s="44" t="s">
        <v>230</v>
      </c>
      <c r="L70" s="44"/>
      <c r="M70" s="44"/>
      <c r="N70" s="44"/>
    </row>
    <row r="71" spans="1:14" ht="15" customHeight="1">
      <c r="A71" s="50" t="s">
        <v>354</v>
      </c>
      <c r="B71" s="39" t="str">
        <f>IFERROR(INDEX(Dim_Proyectos!$A:$A,MATCH(A71,Dim_Proyectos!$B:$B,0)),"")</f>
        <v>P008</v>
      </c>
      <c r="C71" s="40" t="s">
        <v>133</v>
      </c>
      <c r="D71" s="40" t="s">
        <v>202</v>
      </c>
      <c r="E71" s="41" t="s">
        <v>396</v>
      </c>
      <c r="F71" s="40"/>
      <c r="G71" s="40"/>
      <c r="H71" s="40"/>
      <c r="I71" s="40"/>
      <c r="J71" s="40"/>
      <c r="K71" s="40" t="s">
        <v>230</v>
      </c>
      <c r="L71" s="40"/>
      <c r="M71" s="40"/>
      <c r="N71" s="40"/>
    </row>
    <row r="72" spans="1:14" ht="15" customHeight="1">
      <c r="A72" s="50" t="s">
        <v>354</v>
      </c>
      <c r="B72" s="43" t="str">
        <f>IFERROR(INDEX(Dim_Proyectos!$A:$A,MATCH(A72,Dim_Proyectos!$B:$B,0)),"")</f>
        <v>P008</v>
      </c>
      <c r="C72" s="44" t="s">
        <v>133</v>
      </c>
      <c r="D72" s="44" t="s">
        <v>202</v>
      </c>
      <c r="E72" s="45" t="s">
        <v>404</v>
      </c>
      <c r="F72" s="44"/>
      <c r="G72" s="44"/>
      <c r="H72" s="44"/>
      <c r="I72" s="44"/>
      <c r="J72" s="44"/>
      <c r="K72" s="44" t="s">
        <v>136</v>
      </c>
      <c r="L72" s="44"/>
      <c r="M72" s="44"/>
      <c r="N72" s="44"/>
    </row>
    <row r="73" spans="1:14" ht="20.25" customHeight="1">
      <c r="A73" s="50" t="s">
        <v>354</v>
      </c>
      <c r="B73" s="39" t="str">
        <f>IFERROR(INDEX(Dim_Proyectos!$A:$A,MATCH(A73,Dim_Proyectos!$B:$B,0)),"")</f>
        <v>P008</v>
      </c>
      <c r="C73" s="40" t="s">
        <v>133</v>
      </c>
      <c r="D73" s="40" t="s">
        <v>202</v>
      </c>
      <c r="E73" s="41" t="s">
        <v>397</v>
      </c>
      <c r="F73" s="40"/>
      <c r="G73" s="40"/>
      <c r="H73" s="40"/>
      <c r="I73" s="40"/>
      <c r="J73" s="40"/>
      <c r="K73" s="40" t="s">
        <v>230</v>
      </c>
      <c r="L73" s="40"/>
      <c r="M73" s="40"/>
      <c r="N73" s="40"/>
    </row>
    <row r="74" spans="1:14" ht="15" customHeight="1">
      <c r="A74" s="50" t="s">
        <v>354</v>
      </c>
      <c r="B74" s="43" t="str">
        <f>IFERROR(INDEX(Dim_Proyectos!$A:$A,MATCH(A74,Dim_Proyectos!$B:$B,0)),"")</f>
        <v>P008</v>
      </c>
      <c r="C74" s="44" t="s">
        <v>133</v>
      </c>
      <c r="D74" s="44" t="s">
        <v>202</v>
      </c>
      <c r="E74" s="45" t="s">
        <v>405</v>
      </c>
      <c r="F74" s="44"/>
      <c r="G74" s="44"/>
      <c r="H74" s="44"/>
      <c r="I74" s="44"/>
      <c r="J74" s="44"/>
      <c r="K74" s="44" t="s">
        <v>136</v>
      </c>
      <c r="L74" s="44"/>
      <c r="M74" s="44"/>
      <c r="N74" s="44"/>
    </row>
    <row r="75" spans="1:14" ht="15" customHeight="1">
      <c r="A75" s="50" t="s">
        <v>354</v>
      </c>
      <c r="B75" s="39" t="str">
        <f>IFERROR(INDEX(Dim_Proyectos!$A:$A,MATCH(A75,Dim_Proyectos!$B:$B,0)),"")</f>
        <v>P008</v>
      </c>
      <c r="C75" s="40" t="s">
        <v>133</v>
      </c>
      <c r="D75" s="40" t="s">
        <v>187</v>
      </c>
      <c r="E75" s="41" t="s">
        <v>406</v>
      </c>
      <c r="F75" s="40"/>
      <c r="G75" s="40"/>
      <c r="H75" s="40"/>
      <c r="I75" s="40"/>
      <c r="J75" s="40"/>
      <c r="K75" s="40" t="s">
        <v>136</v>
      </c>
      <c r="L75" s="40"/>
      <c r="M75" s="40"/>
      <c r="N75" s="40"/>
    </row>
    <row r="76" spans="1:14" ht="15" customHeight="1">
      <c r="A76" s="50" t="s">
        <v>354</v>
      </c>
      <c r="B76" s="43" t="str">
        <f>IFERROR(INDEX(Dim_Proyectos!$A:$A,MATCH(A76,Dim_Proyectos!$B:$B,0)),"")</f>
        <v>P008</v>
      </c>
      <c r="C76" s="44" t="s">
        <v>133</v>
      </c>
      <c r="D76" s="44" t="s">
        <v>187</v>
      </c>
      <c r="E76" s="45" t="s">
        <v>407</v>
      </c>
      <c r="F76" s="44"/>
      <c r="G76" s="44"/>
      <c r="H76" s="44"/>
      <c r="I76" s="44"/>
      <c r="J76" s="44"/>
      <c r="K76" s="44" t="s">
        <v>136</v>
      </c>
      <c r="L76" s="44"/>
      <c r="M76" s="44"/>
      <c r="N76" s="44"/>
    </row>
    <row r="77" spans="1:14" ht="15" customHeight="1">
      <c r="A77" s="50" t="s">
        <v>354</v>
      </c>
      <c r="B77" s="39" t="str">
        <f>IFERROR(INDEX(Dim_Proyectos!$A:$A,MATCH(A77,Dim_Proyectos!$B:$B,0)),"")</f>
        <v>P008</v>
      </c>
      <c r="C77" s="40" t="s">
        <v>133</v>
      </c>
      <c r="D77" s="40" t="s">
        <v>187</v>
      </c>
      <c r="E77" s="41" t="s">
        <v>408</v>
      </c>
      <c r="F77" s="40"/>
      <c r="G77" s="40"/>
      <c r="H77" s="40"/>
      <c r="I77" s="40"/>
      <c r="J77" s="40"/>
      <c r="K77" s="40" t="s">
        <v>136</v>
      </c>
      <c r="L77" s="40"/>
      <c r="M77" s="40"/>
      <c r="N77" s="40"/>
    </row>
    <row r="78" spans="1:14" ht="15" customHeight="1">
      <c r="A78" s="50" t="s">
        <v>354</v>
      </c>
      <c r="B78" s="43" t="str">
        <f>IFERROR(INDEX(Dim_Proyectos!$A:$A,MATCH(A78,Dim_Proyectos!$B:$B,0)),"")</f>
        <v>P008</v>
      </c>
      <c r="C78" s="44" t="s">
        <v>133</v>
      </c>
      <c r="D78" s="44" t="s">
        <v>187</v>
      </c>
      <c r="E78" s="45" t="s">
        <v>409</v>
      </c>
      <c r="F78" s="44"/>
      <c r="G78" s="44"/>
      <c r="H78" s="44"/>
      <c r="I78" s="44"/>
      <c r="J78" s="44"/>
      <c r="K78" s="44" t="s">
        <v>136</v>
      </c>
      <c r="L78" s="44"/>
      <c r="M78" s="44"/>
      <c r="N78" s="44"/>
    </row>
    <row r="79" spans="1:14" ht="15" customHeight="1">
      <c r="A79" s="50" t="s">
        <v>354</v>
      </c>
      <c r="B79" s="39" t="str">
        <f>IFERROR(INDEX(Dim_Proyectos!$A:$A,MATCH(A79,Dim_Proyectos!$B:$B,0)),"")</f>
        <v>P008</v>
      </c>
      <c r="C79" s="40" t="s">
        <v>133</v>
      </c>
      <c r="D79" s="40" t="s">
        <v>187</v>
      </c>
      <c r="E79" s="41" t="s">
        <v>410</v>
      </c>
      <c r="F79" s="40"/>
      <c r="G79" s="40"/>
      <c r="H79" s="40"/>
      <c r="I79" s="40"/>
      <c r="J79" s="40"/>
      <c r="K79" s="40" t="s">
        <v>136</v>
      </c>
      <c r="L79" s="40"/>
      <c r="M79" s="40"/>
      <c r="N79" s="40"/>
    </row>
    <row r="80" spans="1:14" ht="15" customHeight="1">
      <c r="A80" s="50" t="s">
        <v>354</v>
      </c>
      <c r="B80" s="43" t="str">
        <f>IFERROR(INDEX(Dim_Proyectos!$A:$A,MATCH(A80,Dim_Proyectos!$B:$B,0)),"")</f>
        <v>P008</v>
      </c>
      <c r="C80" s="44" t="s">
        <v>133</v>
      </c>
      <c r="D80" s="44" t="s">
        <v>187</v>
      </c>
      <c r="E80" s="45" t="s">
        <v>411</v>
      </c>
      <c r="F80" s="44"/>
      <c r="G80" s="44"/>
      <c r="H80" s="44"/>
      <c r="I80" s="44"/>
      <c r="J80" s="44"/>
      <c r="K80" s="44" t="s">
        <v>136</v>
      </c>
      <c r="L80" s="44"/>
      <c r="M80" s="44"/>
      <c r="N80" s="44"/>
    </row>
    <row r="81" spans="1:14" ht="15" customHeight="1">
      <c r="A81" s="50" t="s">
        <v>354</v>
      </c>
      <c r="B81" s="39" t="str">
        <f>IFERROR(INDEX(Dim_Proyectos!$A:$A,MATCH(A81,Dim_Proyectos!$B:$B,0)),"")</f>
        <v>P008</v>
      </c>
      <c r="C81" s="40" t="s">
        <v>133</v>
      </c>
      <c r="D81" s="40" t="s">
        <v>187</v>
      </c>
      <c r="E81" s="41" t="s">
        <v>412</v>
      </c>
      <c r="F81" s="40"/>
      <c r="G81" s="40"/>
      <c r="H81" s="40"/>
      <c r="I81" s="40"/>
      <c r="J81" s="40"/>
      <c r="K81" s="40" t="s">
        <v>136</v>
      </c>
      <c r="L81" s="40"/>
      <c r="M81" s="40"/>
      <c r="N81" s="40"/>
    </row>
    <row r="82" spans="1:14" ht="15" customHeight="1">
      <c r="A82" s="50" t="s">
        <v>354</v>
      </c>
      <c r="B82" s="43" t="str">
        <f>IFERROR(INDEX(Dim_Proyectos!$A:$A,MATCH(A82,Dim_Proyectos!$B:$B,0)),"")</f>
        <v>P008</v>
      </c>
      <c r="C82" s="44" t="s">
        <v>133</v>
      </c>
      <c r="D82" s="44" t="s">
        <v>187</v>
      </c>
      <c r="E82" s="45" t="s">
        <v>413</v>
      </c>
      <c r="F82" s="44"/>
      <c r="G82" s="44"/>
      <c r="H82" s="44"/>
      <c r="I82" s="44"/>
      <c r="J82" s="44"/>
      <c r="K82" s="44" t="s">
        <v>136</v>
      </c>
      <c r="L82" s="44"/>
      <c r="M82" s="44"/>
      <c r="N82" s="44"/>
    </row>
    <row r="83" spans="1:14" ht="15" customHeight="1">
      <c r="A83" s="50" t="s">
        <v>354</v>
      </c>
      <c r="B83" s="39" t="str">
        <f>IFERROR(INDEX(Dim_Proyectos!$A:$A,MATCH(A83,Dim_Proyectos!$B:$B,0)),"")</f>
        <v>P008</v>
      </c>
      <c r="C83" s="40" t="s">
        <v>133</v>
      </c>
      <c r="D83" s="40" t="s">
        <v>187</v>
      </c>
      <c r="E83" s="41" t="s">
        <v>414</v>
      </c>
      <c r="F83" s="40"/>
      <c r="G83" s="40"/>
      <c r="H83" s="40"/>
      <c r="I83" s="40"/>
      <c r="J83" s="40"/>
      <c r="K83" s="40" t="s">
        <v>136</v>
      </c>
      <c r="L83" s="40"/>
      <c r="M83" s="40"/>
      <c r="N83" s="40"/>
    </row>
    <row r="84" spans="1:14" ht="15" customHeight="1">
      <c r="A84" s="50" t="s">
        <v>354</v>
      </c>
      <c r="B84" s="43" t="str">
        <f>IFERROR(INDEX(Dim_Proyectos!$A:$A,MATCH(A84,Dim_Proyectos!$B:$B,0)),"")</f>
        <v>P008</v>
      </c>
      <c r="C84" s="44" t="s">
        <v>133</v>
      </c>
      <c r="D84" s="44" t="s">
        <v>206</v>
      </c>
      <c r="E84" s="45" t="s">
        <v>415</v>
      </c>
      <c r="F84" s="44"/>
      <c r="G84" s="44"/>
      <c r="H84" s="44"/>
      <c r="I84" s="44"/>
      <c r="J84" s="44"/>
      <c r="K84" s="44" t="s">
        <v>136</v>
      </c>
      <c r="L84" s="44"/>
      <c r="M84" s="44"/>
      <c r="N84" s="44"/>
    </row>
    <row r="85" spans="1:14" ht="15" customHeight="1">
      <c r="A85" s="50" t="s">
        <v>354</v>
      </c>
      <c r="B85" s="39" t="str">
        <f>IFERROR(INDEX(Dim_Proyectos!$A:$A,MATCH(A85,Dim_Proyectos!$B:$B,0)),"")</f>
        <v>P008</v>
      </c>
      <c r="C85" s="40" t="s">
        <v>133</v>
      </c>
      <c r="D85" s="40" t="s">
        <v>206</v>
      </c>
      <c r="E85" s="41" t="s">
        <v>416</v>
      </c>
      <c r="F85" s="40"/>
      <c r="G85" s="40"/>
      <c r="H85" s="40"/>
      <c r="I85" s="40"/>
      <c r="J85" s="40"/>
      <c r="K85" s="40" t="s">
        <v>136</v>
      </c>
      <c r="L85" s="40"/>
      <c r="M85" s="40"/>
      <c r="N85" s="40"/>
    </row>
    <row r="86" spans="1:14" ht="15" customHeight="1">
      <c r="A86" s="50" t="s">
        <v>354</v>
      </c>
      <c r="B86" s="43" t="str">
        <f>IFERROR(INDEX(Dim_Proyectos!$A:$A,MATCH(A86,Dim_Proyectos!$B:$B,0)),"")</f>
        <v>P008</v>
      </c>
      <c r="C86" s="44" t="s">
        <v>133</v>
      </c>
      <c r="D86" s="44" t="s">
        <v>206</v>
      </c>
      <c r="E86" s="45" t="s">
        <v>417</v>
      </c>
      <c r="F86" s="44"/>
      <c r="G86" s="44"/>
      <c r="H86" s="44"/>
      <c r="I86" s="44"/>
      <c r="J86" s="44"/>
      <c r="K86" s="44" t="s">
        <v>136</v>
      </c>
      <c r="L86" s="44"/>
      <c r="M86" s="44"/>
      <c r="N86" s="44"/>
    </row>
    <row r="87" spans="1:14" ht="15" customHeight="1">
      <c r="A87" s="50" t="s">
        <v>354</v>
      </c>
      <c r="B87" s="39" t="str">
        <f>IFERROR(INDEX(Dim_Proyectos!$A:$A,MATCH(A87,Dim_Proyectos!$B:$B,0)),"")</f>
        <v>P008</v>
      </c>
      <c r="C87" s="40" t="s">
        <v>133</v>
      </c>
      <c r="D87" s="40" t="s">
        <v>226</v>
      </c>
      <c r="E87" s="41" t="s">
        <v>40</v>
      </c>
      <c r="F87" s="40"/>
      <c r="G87" s="40"/>
      <c r="H87" s="40"/>
      <c r="I87" s="40"/>
      <c r="J87" s="40"/>
      <c r="K87" s="40" t="s">
        <v>136</v>
      </c>
      <c r="L87" s="40"/>
      <c r="M87" s="40"/>
      <c r="N87" s="40"/>
    </row>
    <row r="88" spans="1:14" ht="15" customHeight="1">
      <c r="A88" s="50" t="s">
        <v>354</v>
      </c>
      <c r="B88" s="43" t="str">
        <f>IFERROR(INDEX(Dim_Proyectos!$A:$A,MATCH(A88,Dim_Proyectos!$B:$B,0)),"")</f>
        <v>P008</v>
      </c>
      <c r="C88" s="44" t="s">
        <v>133</v>
      </c>
      <c r="D88" s="44" t="s">
        <v>226</v>
      </c>
      <c r="E88" s="45" t="s">
        <v>40</v>
      </c>
      <c r="F88" s="44"/>
      <c r="G88" s="44"/>
      <c r="H88" s="44"/>
      <c r="I88" s="44"/>
      <c r="J88" s="44"/>
      <c r="K88" s="44" t="s">
        <v>136</v>
      </c>
      <c r="L88" s="44"/>
      <c r="M88" s="44"/>
      <c r="N88" s="44"/>
    </row>
    <row r="89" spans="1:14" ht="20.25" customHeight="1">
      <c r="A89" s="50" t="s">
        <v>354</v>
      </c>
      <c r="B89" s="39" t="str">
        <f>IFERROR(INDEX(Dim_Proyectos!$A:$A,MATCH(A89,Dim_Proyectos!$B:$B,0)),"")</f>
        <v>P008</v>
      </c>
      <c r="C89" s="40" t="s">
        <v>133</v>
      </c>
      <c r="D89" s="40" t="s">
        <v>192</v>
      </c>
      <c r="E89" s="41" t="s">
        <v>418</v>
      </c>
      <c r="F89" s="40"/>
      <c r="G89" s="40"/>
      <c r="H89" s="40"/>
      <c r="I89" s="40"/>
      <c r="J89" s="40"/>
      <c r="K89" s="40" t="s">
        <v>151</v>
      </c>
      <c r="L89" s="40"/>
      <c r="M89" s="40"/>
      <c r="N89" s="40"/>
    </row>
    <row r="90" spans="1:14" ht="20.25" customHeight="1">
      <c r="A90" s="50" t="s">
        <v>354</v>
      </c>
      <c r="B90" s="43" t="str">
        <f>IFERROR(INDEX(Dim_Proyectos!$A:$A,MATCH(A90,Dim_Proyectos!$B:$B,0)),"")</f>
        <v>P008</v>
      </c>
      <c r="C90" s="44" t="s">
        <v>133</v>
      </c>
      <c r="D90" s="44" t="s">
        <v>192</v>
      </c>
      <c r="E90" s="45" t="s">
        <v>419</v>
      </c>
      <c r="F90" s="44"/>
      <c r="G90" s="44"/>
      <c r="H90" s="44"/>
      <c r="I90" s="44"/>
      <c r="J90" s="44"/>
      <c r="K90" s="44" t="s">
        <v>151</v>
      </c>
      <c r="L90" s="44"/>
      <c r="M90" s="44"/>
      <c r="N90" s="44"/>
    </row>
    <row r="91" spans="1:14" ht="15" customHeight="1">
      <c r="A91" s="50" t="s">
        <v>361</v>
      </c>
      <c r="B91" s="39" t="str">
        <f>IFERROR(INDEX(Dim_Proyectos!$A:$A,MATCH(A91,Dim_Proyectos!$B:$B,0)),"")</f>
        <v>P007</v>
      </c>
      <c r="C91" s="40" t="s">
        <v>133</v>
      </c>
      <c r="D91" s="40" t="s">
        <v>140</v>
      </c>
      <c r="E91" s="41" t="s">
        <v>420</v>
      </c>
      <c r="F91" s="40"/>
      <c r="G91" s="40"/>
      <c r="H91" s="40"/>
      <c r="I91" s="40"/>
      <c r="J91" s="40"/>
      <c r="K91" s="40" t="s">
        <v>136</v>
      </c>
      <c r="L91" s="40"/>
      <c r="M91" s="40"/>
      <c r="N91" s="40"/>
    </row>
    <row r="92" spans="1:14" ht="15" customHeight="1">
      <c r="A92" s="50" t="s">
        <v>361</v>
      </c>
      <c r="B92" s="43" t="str">
        <f>IFERROR(INDEX(Dim_Proyectos!$A:$A,MATCH(A92,Dim_Proyectos!$B:$B,0)),"")</f>
        <v>P007</v>
      </c>
      <c r="C92" s="44" t="s">
        <v>133</v>
      </c>
      <c r="D92" s="44" t="s">
        <v>140</v>
      </c>
      <c r="E92" s="45" t="s">
        <v>421</v>
      </c>
      <c r="F92" s="44"/>
      <c r="G92" s="44"/>
      <c r="H92" s="44"/>
      <c r="I92" s="44"/>
      <c r="J92" s="44"/>
      <c r="K92" s="44" t="s">
        <v>136</v>
      </c>
      <c r="L92" s="44"/>
      <c r="M92" s="44"/>
      <c r="N92" s="44"/>
    </row>
    <row r="93" spans="1:14" ht="15" customHeight="1">
      <c r="A93" s="50" t="s">
        <v>361</v>
      </c>
      <c r="B93" s="39" t="str">
        <f>IFERROR(INDEX(Dim_Proyectos!$A:$A,MATCH(A93,Dim_Proyectos!$B:$B,0)),"")</f>
        <v>P007</v>
      </c>
      <c r="C93" s="40" t="s">
        <v>133</v>
      </c>
      <c r="D93" s="40" t="s">
        <v>140</v>
      </c>
      <c r="E93" s="41" t="s">
        <v>422</v>
      </c>
      <c r="F93" s="40"/>
      <c r="G93" s="40"/>
      <c r="H93" s="40"/>
      <c r="I93" s="40"/>
      <c r="J93" s="40"/>
      <c r="K93" s="40" t="s">
        <v>136</v>
      </c>
      <c r="L93" s="40"/>
      <c r="M93" s="40"/>
      <c r="N93" s="40"/>
    </row>
    <row r="94" spans="1:14" ht="15" customHeight="1">
      <c r="A94" s="50" t="s">
        <v>361</v>
      </c>
      <c r="B94" s="43" t="str">
        <f>IFERROR(INDEX(Dim_Proyectos!$A:$A,MATCH(A94,Dim_Proyectos!$B:$B,0)),"")</f>
        <v>P007</v>
      </c>
      <c r="C94" s="44" t="s">
        <v>133</v>
      </c>
      <c r="D94" s="44" t="s">
        <v>200</v>
      </c>
      <c r="E94" s="45" t="s">
        <v>423</v>
      </c>
      <c r="F94" s="44"/>
      <c r="G94" s="44"/>
      <c r="H94" s="44"/>
      <c r="I94" s="44"/>
      <c r="J94" s="44"/>
      <c r="K94" s="44" t="s">
        <v>151</v>
      </c>
      <c r="L94" s="44"/>
      <c r="M94" s="44"/>
      <c r="N94" s="44"/>
    </row>
    <row r="95" spans="1:14" ht="15" customHeight="1">
      <c r="A95" s="50" t="s">
        <v>361</v>
      </c>
      <c r="B95" s="39" t="str">
        <f>IFERROR(INDEX(Dim_Proyectos!$A:$A,MATCH(A95,Dim_Proyectos!$B:$B,0)),"")</f>
        <v>P007</v>
      </c>
      <c r="C95" s="40" t="s">
        <v>133</v>
      </c>
      <c r="D95" s="40" t="s">
        <v>200</v>
      </c>
      <c r="E95" s="41" t="s">
        <v>424</v>
      </c>
      <c r="F95" s="40"/>
      <c r="G95" s="40"/>
      <c r="H95" s="40"/>
      <c r="I95" s="40"/>
      <c r="J95" s="40"/>
      <c r="K95" s="40" t="s">
        <v>151</v>
      </c>
      <c r="L95" s="40"/>
      <c r="M95" s="40"/>
      <c r="N95" s="40"/>
    </row>
    <row r="96" spans="1:14" ht="20.25" customHeight="1">
      <c r="A96" s="50" t="s">
        <v>361</v>
      </c>
      <c r="B96" s="43" t="str">
        <f>IFERROR(INDEX(Dim_Proyectos!$A:$A,MATCH(A96,Dim_Proyectos!$B:$B,0)),"")</f>
        <v>P007</v>
      </c>
      <c r="C96" s="44" t="s">
        <v>133</v>
      </c>
      <c r="D96" s="44" t="s">
        <v>200</v>
      </c>
      <c r="E96" s="45" t="s">
        <v>425</v>
      </c>
      <c r="F96" s="44"/>
      <c r="G96" s="44"/>
      <c r="H96" s="44"/>
      <c r="I96" s="44"/>
      <c r="J96" s="44"/>
      <c r="K96" s="44" t="s">
        <v>151</v>
      </c>
      <c r="L96" s="44"/>
      <c r="M96" s="44"/>
      <c r="N96" s="44"/>
    </row>
    <row r="97" spans="1:14" ht="15" customHeight="1">
      <c r="A97" s="50" t="s">
        <v>361</v>
      </c>
      <c r="B97" s="39" t="str">
        <f>IFERROR(INDEX(Dim_Proyectos!$A:$A,MATCH(A97,Dim_Proyectos!$B:$B,0)),"")</f>
        <v>P007</v>
      </c>
      <c r="C97" s="40" t="s">
        <v>133</v>
      </c>
      <c r="D97" s="40" t="s">
        <v>200</v>
      </c>
      <c r="E97" s="41" t="s">
        <v>426</v>
      </c>
      <c r="F97" s="40"/>
      <c r="G97" s="40"/>
      <c r="H97" s="40"/>
      <c r="I97" s="40"/>
      <c r="J97" s="40"/>
      <c r="K97" s="40" t="s">
        <v>151</v>
      </c>
      <c r="L97" s="40"/>
      <c r="M97" s="40"/>
      <c r="N97" s="40"/>
    </row>
    <row r="98" spans="1:14" ht="15" customHeight="1">
      <c r="A98" s="50" t="s">
        <v>361</v>
      </c>
      <c r="B98" s="43" t="str">
        <f>IFERROR(INDEX(Dim_Proyectos!$A:$A,MATCH(A98,Dim_Proyectos!$B:$B,0)),"")</f>
        <v>P007</v>
      </c>
      <c r="C98" s="44" t="s">
        <v>133</v>
      </c>
      <c r="D98" s="44" t="s">
        <v>200</v>
      </c>
      <c r="E98" s="45" t="s">
        <v>427</v>
      </c>
      <c r="F98" s="44"/>
      <c r="G98" s="44"/>
      <c r="H98" s="44"/>
      <c r="I98" s="44"/>
      <c r="J98" s="44"/>
      <c r="K98" s="44" t="s">
        <v>151</v>
      </c>
      <c r="L98" s="44"/>
      <c r="M98" s="44"/>
      <c r="N98" s="44"/>
    </row>
    <row r="99" spans="1:14" ht="15" customHeight="1">
      <c r="A99" s="50" t="s">
        <v>361</v>
      </c>
      <c r="B99" s="39" t="str">
        <f>IFERROR(INDEX(Dim_Proyectos!$A:$A,MATCH(A99,Dim_Proyectos!$B:$B,0)),"")</f>
        <v>P007</v>
      </c>
      <c r="C99" s="40" t="s">
        <v>133</v>
      </c>
      <c r="D99" s="40" t="s">
        <v>200</v>
      </c>
      <c r="E99" s="41" t="s">
        <v>428</v>
      </c>
      <c r="F99" s="40"/>
      <c r="G99" s="40"/>
      <c r="H99" s="40"/>
      <c r="I99" s="40"/>
      <c r="J99" s="40"/>
      <c r="K99" s="40" t="s">
        <v>151</v>
      </c>
      <c r="L99" s="40"/>
      <c r="M99" s="40"/>
      <c r="N99" s="40"/>
    </row>
    <row r="100" spans="1:14" ht="15" customHeight="1">
      <c r="A100" s="50" t="s">
        <v>361</v>
      </c>
      <c r="B100" s="43" t="str">
        <f>IFERROR(INDEX(Dim_Proyectos!$A:$A,MATCH(A100,Dim_Proyectos!$B:$B,0)),"")</f>
        <v>P007</v>
      </c>
      <c r="C100" s="44" t="s">
        <v>133</v>
      </c>
      <c r="D100" s="44" t="s">
        <v>200</v>
      </c>
      <c r="E100" s="45" t="s">
        <v>429</v>
      </c>
      <c r="F100" s="44"/>
      <c r="G100" s="44"/>
      <c r="H100" s="44"/>
      <c r="I100" s="44"/>
      <c r="J100" s="44"/>
      <c r="K100" s="44" t="s">
        <v>230</v>
      </c>
      <c r="L100" s="44"/>
      <c r="M100" s="44"/>
      <c r="N100" s="44"/>
    </row>
    <row r="101" spans="1:14" ht="15" customHeight="1">
      <c r="A101" s="50" t="s">
        <v>361</v>
      </c>
      <c r="B101" s="39" t="str">
        <f>IFERROR(INDEX(Dim_Proyectos!$A:$A,MATCH(A101,Dim_Proyectos!$B:$B,0)),"")</f>
        <v>P007</v>
      </c>
      <c r="C101" s="40" t="s">
        <v>133</v>
      </c>
      <c r="D101" s="40" t="s">
        <v>200</v>
      </c>
      <c r="E101" s="41" t="s">
        <v>430</v>
      </c>
      <c r="F101" s="40"/>
      <c r="G101" s="40"/>
      <c r="H101" s="40"/>
      <c r="I101" s="40"/>
      <c r="J101" s="40"/>
      <c r="K101" s="40" t="s">
        <v>151</v>
      </c>
      <c r="L101" s="40"/>
      <c r="M101" s="40"/>
      <c r="N101" s="40"/>
    </row>
    <row r="102" spans="1:14" ht="20.25" customHeight="1">
      <c r="A102" s="50" t="s">
        <v>361</v>
      </c>
      <c r="B102" s="43" t="str">
        <f>IFERROR(INDEX(Dim_Proyectos!$A:$A,MATCH(A102,Dim_Proyectos!$B:$B,0)),"")</f>
        <v>P007</v>
      </c>
      <c r="C102" s="44" t="s">
        <v>133</v>
      </c>
      <c r="D102" s="44" t="s">
        <v>200</v>
      </c>
      <c r="E102" s="45" t="s">
        <v>431</v>
      </c>
      <c r="F102" s="44"/>
      <c r="G102" s="44"/>
      <c r="H102" s="44"/>
      <c r="I102" s="44"/>
      <c r="J102" s="44"/>
      <c r="K102" s="44" t="s">
        <v>151</v>
      </c>
      <c r="L102" s="44"/>
      <c r="M102" s="44"/>
      <c r="N102" s="44"/>
    </row>
    <row r="103" spans="1:14" ht="15" customHeight="1">
      <c r="A103" s="50" t="s">
        <v>361</v>
      </c>
      <c r="B103" s="39" t="str">
        <f>IFERROR(INDEX(Dim_Proyectos!$A:$A,MATCH(A103,Dim_Proyectos!$B:$B,0)),"")</f>
        <v>P007</v>
      </c>
      <c r="C103" s="40" t="s">
        <v>133</v>
      </c>
      <c r="D103" s="40" t="s">
        <v>200</v>
      </c>
      <c r="E103" s="41" t="s">
        <v>407</v>
      </c>
      <c r="F103" s="40"/>
      <c r="G103" s="40"/>
      <c r="H103" s="40"/>
      <c r="I103" s="40"/>
      <c r="J103" s="40"/>
      <c r="K103" s="40" t="s">
        <v>151</v>
      </c>
      <c r="L103" s="40"/>
      <c r="M103" s="40"/>
      <c r="N103" s="40"/>
    </row>
    <row r="104" spans="1:14" ht="20.25" customHeight="1">
      <c r="A104" s="50" t="s">
        <v>361</v>
      </c>
      <c r="B104" s="43" t="str">
        <f>IFERROR(INDEX(Dim_Proyectos!$A:$A,MATCH(A104,Dim_Proyectos!$B:$B,0)),"")</f>
        <v>P007</v>
      </c>
      <c r="C104" s="44" t="s">
        <v>133</v>
      </c>
      <c r="D104" s="44" t="s">
        <v>200</v>
      </c>
      <c r="E104" s="45" t="s">
        <v>432</v>
      </c>
      <c r="F104" s="44"/>
      <c r="G104" s="44"/>
      <c r="H104" s="44"/>
      <c r="I104" s="44"/>
      <c r="J104" s="44"/>
      <c r="K104" s="44" t="s">
        <v>151</v>
      </c>
      <c r="L104" s="44"/>
      <c r="M104" s="44"/>
      <c r="N104" s="44"/>
    </row>
    <row r="105" spans="1:14" ht="20.25" customHeight="1">
      <c r="A105" s="50" t="s">
        <v>361</v>
      </c>
      <c r="B105" s="39" t="str">
        <f>IFERROR(INDEX(Dim_Proyectos!$A:$A,MATCH(A105,Dim_Proyectos!$B:$B,0)),"")</f>
        <v>P007</v>
      </c>
      <c r="C105" s="40" t="s">
        <v>133</v>
      </c>
      <c r="D105" s="40" t="s">
        <v>200</v>
      </c>
      <c r="E105" s="41" t="s">
        <v>433</v>
      </c>
      <c r="F105" s="40"/>
      <c r="G105" s="40"/>
      <c r="H105" s="40"/>
      <c r="I105" s="40"/>
      <c r="J105" s="40"/>
      <c r="K105" s="40" t="s">
        <v>151</v>
      </c>
      <c r="L105" s="40"/>
      <c r="M105" s="40"/>
      <c r="N105" s="40"/>
    </row>
    <row r="106" spans="1:14" ht="15" customHeight="1">
      <c r="A106" s="50" t="s">
        <v>361</v>
      </c>
      <c r="B106" s="43" t="str">
        <f>IFERROR(INDEX(Dim_Proyectos!$A:$A,MATCH(A106,Dim_Proyectos!$B:$B,0)),"")</f>
        <v>P007</v>
      </c>
      <c r="C106" s="44" t="s">
        <v>133</v>
      </c>
      <c r="D106" s="44" t="s">
        <v>145</v>
      </c>
      <c r="E106" s="45" t="s">
        <v>434</v>
      </c>
      <c r="F106" s="44"/>
      <c r="G106" s="44"/>
      <c r="H106" s="44"/>
      <c r="I106" s="44"/>
      <c r="J106" s="44"/>
      <c r="K106" s="44" t="s">
        <v>136</v>
      </c>
      <c r="L106" s="44"/>
      <c r="M106" s="44"/>
      <c r="N106" s="44"/>
    </row>
    <row r="107" spans="1:14" ht="15" customHeight="1">
      <c r="A107" s="50" t="s">
        <v>361</v>
      </c>
      <c r="B107" s="39" t="str">
        <f>IFERROR(INDEX(Dim_Proyectos!$A:$A,MATCH(A107,Dim_Proyectos!$B:$B,0)),"")</f>
        <v>P007</v>
      </c>
      <c r="C107" s="40" t="s">
        <v>133</v>
      </c>
      <c r="D107" s="40" t="s">
        <v>145</v>
      </c>
      <c r="E107" s="41" t="s">
        <v>434</v>
      </c>
      <c r="F107" s="40"/>
      <c r="G107" s="40"/>
      <c r="H107" s="40"/>
      <c r="I107" s="40"/>
      <c r="J107" s="40"/>
      <c r="K107" s="40" t="s">
        <v>136</v>
      </c>
      <c r="L107" s="40"/>
      <c r="M107" s="40"/>
      <c r="N107" s="40"/>
    </row>
    <row r="108" spans="1:14" ht="15" customHeight="1">
      <c r="A108" s="50" t="s">
        <v>361</v>
      </c>
      <c r="B108" s="43" t="str">
        <f>IFERROR(INDEX(Dim_Proyectos!$A:$A,MATCH(A108,Dim_Proyectos!$B:$B,0)),"")</f>
        <v>P007</v>
      </c>
      <c r="C108" s="44" t="s">
        <v>133</v>
      </c>
      <c r="D108" s="44" t="s">
        <v>204</v>
      </c>
      <c r="E108" s="45" t="s">
        <v>434</v>
      </c>
      <c r="F108" s="44"/>
      <c r="G108" s="44"/>
      <c r="H108" s="44"/>
      <c r="I108" s="44"/>
      <c r="J108" s="44"/>
      <c r="K108" s="44" t="s">
        <v>230</v>
      </c>
      <c r="L108" s="44"/>
      <c r="M108" s="44"/>
      <c r="N108" s="44"/>
    </row>
    <row r="109" spans="1:14" ht="15" customHeight="1">
      <c r="A109" s="50" t="s">
        <v>361</v>
      </c>
      <c r="B109" s="39" t="str">
        <f>IFERROR(INDEX(Dim_Proyectos!$A:$A,MATCH(A109,Dim_Proyectos!$B:$B,0)),"")</f>
        <v>P007</v>
      </c>
      <c r="C109" s="40" t="s">
        <v>133</v>
      </c>
      <c r="D109" s="40" t="s">
        <v>138</v>
      </c>
      <c r="E109" s="41" t="s">
        <v>381</v>
      </c>
      <c r="F109" s="40"/>
      <c r="G109" s="40"/>
      <c r="H109" s="40"/>
      <c r="I109" s="40"/>
      <c r="J109" s="40"/>
      <c r="K109" s="40" t="s">
        <v>136</v>
      </c>
      <c r="L109" s="40"/>
      <c r="M109" s="40"/>
      <c r="N109" s="40"/>
    </row>
    <row r="110" spans="1:14" ht="15" customHeight="1">
      <c r="A110" s="50" t="s">
        <v>361</v>
      </c>
      <c r="B110" s="43" t="str">
        <f>IFERROR(INDEX(Dim_Proyectos!$A:$A,MATCH(A110,Dim_Proyectos!$B:$B,0)),"")</f>
        <v>P007</v>
      </c>
      <c r="C110" s="44" t="s">
        <v>133</v>
      </c>
      <c r="D110" s="44" t="s">
        <v>202</v>
      </c>
      <c r="E110" s="45" t="s">
        <v>435</v>
      </c>
      <c r="F110" s="44"/>
      <c r="G110" s="44"/>
      <c r="H110" s="44"/>
      <c r="I110" s="44"/>
      <c r="J110" s="44"/>
      <c r="K110" s="44" t="s">
        <v>230</v>
      </c>
      <c r="L110" s="44"/>
      <c r="M110" s="44"/>
      <c r="N110" s="44"/>
    </row>
    <row r="111" spans="1:14" ht="15" customHeight="1">
      <c r="A111" s="50" t="s">
        <v>361</v>
      </c>
      <c r="B111" s="39" t="str">
        <f>IFERROR(INDEX(Dim_Proyectos!$A:$A,MATCH(A111,Dim_Proyectos!$B:$B,0)),"")</f>
        <v>P007</v>
      </c>
      <c r="C111" s="40" t="s">
        <v>133</v>
      </c>
      <c r="D111" s="40" t="s">
        <v>202</v>
      </c>
      <c r="E111" s="41" t="s">
        <v>426</v>
      </c>
      <c r="F111" s="40"/>
      <c r="G111" s="40"/>
      <c r="H111" s="40"/>
      <c r="I111" s="40"/>
      <c r="J111" s="40"/>
      <c r="K111" s="40" t="s">
        <v>151</v>
      </c>
      <c r="L111" s="40"/>
      <c r="M111" s="40"/>
      <c r="N111" s="40"/>
    </row>
    <row r="112" spans="1:14" ht="15" customHeight="1">
      <c r="A112" s="50" t="s">
        <v>361</v>
      </c>
      <c r="B112" s="43" t="str">
        <f>IFERROR(INDEX(Dim_Proyectos!$A:$A,MATCH(A112,Dim_Proyectos!$B:$B,0)),"")</f>
        <v>P007</v>
      </c>
      <c r="C112" s="44" t="s">
        <v>133</v>
      </c>
      <c r="D112" s="44" t="s">
        <v>202</v>
      </c>
      <c r="E112" s="45" t="s">
        <v>436</v>
      </c>
      <c r="F112" s="44"/>
      <c r="G112" s="44"/>
      <c r="H112" s="44"/>
      <c r="I112" s="44"/>
      <c r="J112" s="44"/>
      <c r="K112" s="44" t="s">
        <v>151</v>
      </c>
      <c r="L112" s="44"/>
      <c r="M112" s="44"/>
      <c r="N112" s="44"/>
    </row>
    <row r="113" spans="1:14" ht="15" customHeight="1">
      <c r="A113" s="50" t="s">
        <v>361</v>
      </c>
      <c r="B113" s="39" t="str">
        <f>IFERROR(INDEX(Dim_Proyectos!$A:$A,MATCH(A113,Dim_Proyectos!$B:$B,0)),"")</f>
        <v>P007</v>
      </c>
      <c r="C113" s="40" t="s">
        <v>133</v>
      </c>
      <c r="D113" s="40" t="s">
        <v>152</v>
      </c>
      <c r="E113" s="41" t="s">
        <v>437</v>
      </c>
      <c r="F113" s="40"/>
      <c r="G113" s="40"/>
      <c r="H113" s="40"/>
      <c r="I113" s="40"/>
      <c r="J113" s="40"/>
      <c r="K113" s="40" t="s">
        <v>136</v>
      </c>
      <c r="L113" s="40"/>
      <c r="M113" s="40"/>
      <c r="N113" s="40"/>
    </row>
    <row r="114" spans="1:14" ht="15" customHeight="1">
      <c r="A114" s="50" t="s">
        <v>361</v>
      </c>
      <c r="B114" s="43" t="str">
        <f>IFERROR(INDEX(Dim_Proyectos!$A:$A,MATCH(A114,Dim_Proyectos!$B:$B,0)),"")</f>
        <v>P007</v>
      </c>
      <c r="C114" s="44" t="s">
        <v>133</v>
      </c>
      <c r="D114" s="44" t="s">
        <v>152</v>
      </c>
      <c r="E114" s="45" t="s">
        <v>438</v>
      </c>
      <c r="F114" s="44"/>
      <c r="G114" s="44"/>
      <c r="H114" s="44"/>
      <c r="I114" s="44"/>
      <c r="J114" s="44"/>
      <c r="K114" s="44" t="s">
        <v>136</v>
      </c>
      <c r="L114" s="44"/>
      <c r="M114" s="44"/>
      <c r="N114" s="44"/>
    </row>
    <row r="115" spans="1:14" ht="15" customHeight="1">
      <c r="A115" s="50" t="s">
        <v>361</v>
      </c>
      <c r="B115" s="39" t="str">
        <f>IFERROR(INDEX(Dim_Proyectos!$A:$A,MATCH(A115,Dim_Proyectos!$B:$B,0)),"")</f>
        <v>P007</v>
      </c>
      <c r="C115" s="40" t="s">
        <v>133</v>
      </c>
      <c r="D115" s="40" t="s">
        <v>152</v>
      </c>
      <c r="E115" s="41" t="s">
        <v>439</v>
      </c>
      <c r="F115" s="40"/>
      <c r="G115" s="40"/>
      <c r="H115" s="40"/>
      <c r="I115" s="40"/>
      <c r="J115" s="40"/>
      <c r="K115" s="40" t="s">
        <v>136</v>
      </c>
      <c r="L115" s="40"/>
      <c r="M115" s="40"/>
      <c r="N115" s="40"/>
    </row>
    <row r="116" spans="1:14" ht="15" customHeight="1">
      <c r="A116" s="50" t="s">
        <v>361</v>
      </c>
      <c r="B116" s="43" t="str">
        <f>IFERROR(INDEX(Dim_Proyectos!$A:$A,MATCH(A116,Dim_Proyectos!$B:$B,0)),"")</f>
        <v>P007</v>
      </c>
      <c r="C116" s="44" t="s">
        <v>133</v>
      </c>
      <c r="D116" s="44" t="s">
        <v>152</v>
      </c>
      <c r="E116" s="45" t="s">
        <v>440</v>
      </c>
      <c r="F116" s="44"/>
      <c r="G116" s="44"/>
      <c r="H116" s="44"/>
      <c r="I116" s="44"/>
      <c r="J116" s="44"/>
      <c r="K116" s="44" t="s">
        <v>136</v>
      </c>
      <c r="L116" s="44"/>
      <c r="M116" s="44"/>
      <c r="N116" s="44"/>
    </row>
    <row r="117" spans="1:14" ht="15" customHeight="1">
      <c r="A117" s="50" t="s">
        <v>361</v>
      </c>
      <c r="B117" s="39" t="str">
        <f>IFERROR(INDEX(Dim_Proyectos!$A:$A,MATCH(A117,Dim_Proyectos!$B:$B,0)),"")</f>
        <v>P007</v>
      </c>
      <c r="C117" s="40" t="s">
        <v>133</v>
      </c>
      <c r="D117" s="40" t="s">
        <v>152</v>
      </c>
      <c r="E117" s="41" t="s">
        <v>441</v>
      </c>
      <c r="F117" s="40"/>
      <c r="G117" s="40"/>
      <c r="H117" s="40"/>
      <c r="I117" s="40"/>
      <c r="J117" s="40"/>
      <c r="K117" s="40" t="s">
        <v>136</v>
      </c>
      <c r="L117" s="40"/>
      <c r="M117" s="40"/>
      <c r="N117" s="40"/>
    </row>
    <row r="118" spans="1:14" ht="20.25" customHeight="1">
      <c r="A118" s="50" t="s">
        <v>361</v>
      </c>
      <c r="B118" s="43" t="str">
        <f>IFERROR(INDEX(Dim_Proyectos!$A:$A,MATCH(A118,Dim_Proyectos!$B:$B,0)),"")</f>
        <v>P007</v>
      </c>
      <c r="C118" s="44" t="s">
        <v>133</v>
      </c>
      <c r="D118" s="44" t="s">
        <v>152</v>
      </c>
      <c r="E118" s="45" t="s">
        <v>442</v>
      </c>
      <c r="F118" s="44"/>
      <c r="G118" s="44"/>
      <c r="H118" s="44"/>
      <c r="I118" s="44"/>
      <c r="J118" s="44"/>
      <c r="K118" s="44" t="s">
        <v>136</v>
      </c>
      <c r="L118" s="44"/>
      <c r="M118" s="44"/>
      <c r="N118" s="44"/>
    </row>
    <row r="119" spans="1:14" ht="15" customHeight="1">
      <c r="A119" s="50" t="s">
        <v>361</v>
      </c>
      <c r="B119" s="39" t="str">
        <f>IFERROR(INDEX(Dim_Proyectos!$A:$A,MATCH(A119,Dim_Proyectos!$B:$B,0)),"")</f>
        <v>P007</v>
      </c>
      <c r="C119" s="40" t="s">
        <v>133</v>
      </c>
      <c r="D119" s="40" t="s">
        <v>152</v>
      </c>
      <c r="E119" s="41" t="s">
        <v>443</v>
      </c>
      <c r="F119" s="40"/>
      <c r="G119" s="40"/>
      <c r="H119" s="40"/>
      <c r="I119" s="40"/>
      <c r="J119" s="40"/>
      <c r="K119" s="40" t="s">
        <v>136</v>
      </c>
      <c r="L119" s="40"/>
      <c r="M119" s="40"/>
      <c r="N119" s="40"/>
    </row>
    <row r="120" spans="1:14" ht="15" customHeight="1">
      <c r="A120" s="50" t="s">
        <v>361</v>
      </c>
      <c r="B120" s="43" t="str">
        <f>IFERROR(INDEX(Dim_Proyectos!$A:$A,MATCH(A120,Dim_Proyectos!$B:$B,0)),"")</f>
        <v>P007</v>
      </c>
      <c r="C120" s="44" t="s">
        <v>133</v>
      </c>
      <c r="D120" s="44" t="s">
        <v>152</v>
      </c>
      <c r="E120" s="45" t="s">
        <v>444</v>
      </c>
      <c r="F120" s="44"/>
      <c r="G120" s="44"/>
      <c r="H120" s="44"/>
      <c r="I120" s="44"/>
      <c r="J120" s="44"/>
      <c r="K120" s="44" t="s">
        <v>136</v>
      </c>
      <c r="L120" s="44"/>
      <c r="M120" s="44"/>
      <c r="N120" s="44"/>
    </row>
    <row r="121" spans="1:14" ht="15" customHeight="1">
      <c r="A121" s="50" t="s">
        <v>361</v>
      </c>
      <c r="B121" s="39" t="str">
        <f>IFERROR(INDEX(Dim_Proyectos!$A:$A,MATCH(A121,Dim_Proyectos!$B:$B,0)),"")</f>
        <v>P007</v>
      </c>
      <c r="C121" s="40" t="s">
        <v>133</v>
      </c>
      <c r="D121" s="40" t="s">
        <v>152</v>
      </c>
      <c r="E121" s="41" t="s">
        <v>445</v>
      </c>
      <c r="F121" s="40"/>
      <c r="G121" s="40"/>
      <c r="H121" s="40"/>
      <c r="I121" s="40"/>
      <c r="J121" s="40"/>
      <c r="K121" s="40" t="s">
        <v>136</v>
      </c>
      <c r="L121" s="40"/>
      <c r="M121" s="40"/>
      <c r="N121" s="40"/>
    </row>
    <row r="122" spans="1:14" ht="15" customHeight="1">
      <c r="A122" s="50" t="s">
        <v>361</v>
      </c>
      <c r="B122" s="43" t="str">
        <f>IFERROR(INDEX(Dim_Proyectos!$A:$A,MATCH(A122,Dim_Proyectos!$B:$B,0)),"")</f>
        <v>P007</v>
      </c>
      <c r="C122" s="44" t="s">
        <v>133</v>
      </c>
      <c r="D122" s="44" t="s">
        <v>152</v>
      </c>
      <c r="E122" s="45" t="s">
        <v>446</v>
      </c>
      <c r="F122" s="44"/>
      <c r="G122" s="44"/>
      <c r="H122" s="44"/>
      <c r="I122" s="44"/>
      <c r="J122" s="44"/>
      <c r="K122" s="44" t="s">
        <v>136</v>
      </c>
      <c r="L122" s="44"/>
      <c r="M122" s="44"/>
      <c r="N122" s="44"/>
    </row>
    <row r="123" spans="1:14" ht="15" customHeight="1">
      <c r="A123" s="50" t="s">
        <v>361</v>
      </c>
      <c r="B123" s="39" t="str">
        <f>IFERROR(INDEX(Dim_Proyectos!$A:$A,MATCH(A123,Dim_Proyectos!$B:$B,0)),"")</f>
        <v>P007</v>
      </c>
      <c r="C123" s="40" t="s">
        <v>133</v>
      </c>
      <c r="D123" s="40" t="s">
        <v>152</v>
      </c>
      <c r="E123" s="41" t="s">
        <v>447</v>
      </c>
      <c r="F123" s="40"/>
      <c r="G123" s="40"/>
      <c r="H123" s="40"/>
      <c r="I123" s="40"/>
      <c r="J123" s="40"/>
      <c r="K123" s="40" t="s">
        <v>136</v>
      </c>
      <c r="L123" s="40"/>
      <c r="M123" s="40"/>
      <c r="N123" s="40"/>
    </row>
    <row r="124" spans="1:14" ht="15" customHeight="1">
      <c r="A124" s="50" t="s">
        <v>361</v>
      </c>
      <c r="B124" s="43" t="str">
        <f>IFERROR(INDEX(Dim_Proyectos!$A:$A,MATCH(A124,Dim_Proyectos!$B:$B,0)),"")</f>
        <v>P007</v>
      </c>
      <c r="C124" s="44" t="s">
        <v>133</v>
      </c>
      <c r="D124" s="44" t="s">
        <v>152</v>
      </c>
      <c r="E124" s="45" t="s">
        <v>448</v>
      </c>
      <c r="F124" s="44"/>
      <c r="G124" s="44"/>
      <c r="H124" s="44"/>
      <c r="I124" s="44"/>
      <c r="J124" s="44"/>
      <c r="K124" s="44" t="s">
        <v>136</v>
      </c>
      <c r="L124" s="44"/>
      <c r="M124" s="44"/>
      <c r="N124" s="44"/>
    </row>
    <row r="125" spans="1:14" ht="20.25" customHeight="1">
      <c r="A125" s="50" t="s">
        <v>361</v>
      </c>
      <c r="B125" s="39" t="str">
        <f>IFERROR(INDEX(Dim_Proyectos!$A:$A,MATCH(A125,Dim_Proyectos!$B:$B,0)),"")</f>
        <v>P007</v>
      </c>
      <c r="C125" s="40" t="s">
        <v>133</v>
      </c>
      <c r="D125" s="40" t="s">
        <v>152</v>
      </c>
      <c r="E125" s="41" t="s">
        <v>449</v>
      </c>
      <c r="F125" s="40"/>
      <c r="G125" s="40"/>
      <c r="H125" s="40"/>
      <c r="I125" s="40"/>
      <c r="J125" s="40"/>
      <c r="K125" s="40" t="s">
        <v>136</v>
      </c>
      <c r="L125" s="40"/>
      <c r="M125" s="40"/>
      <c r="N125" s="40"/>
    </row>
    <row r="126" spans="1:14" ht="15" customHeight="1">
      <c r="A126" s="50" t="s">
        <v>361</v>
      </c>
      <c r="B126" s="43" t="str">
        <f>IFERROR(INDEX(Dim_Proyectos!$A:$A,MATCH(A126,Dim_Proyectos!$B:$B,0)),"")</f>
        <v>P007</v>
      </c>
      <c r="C126" s="44" t="s">
        <v>133</v>
      </c>
      <c r="D126" s="44" t="s">
        <v>152</v>
      </c>
      <c r="E126" s="45" t="s">
        <v>450</v>
      </c>
      <c r="F126" s="44"/>
      <c r="G126" s="44"/>
      <c r="H126" s="44"/>
      <c r="I126" s="44"/>
      <c r="J126" s="44"/>
      <c r="K126" s="44" t="s">
        <v>136</v>
      </c>
      <c r="L126" s="44"/>
      <c r="M126" s="44"/>
      <c r="N126" s="44"/>
    </row>
    <row r="127" spans="1:14" ht="15" customHeight="1">
      <c r="A127" s="50" t="s">
        <v>361</v>
      </c>
      <c r="B127" s="39" t="str">
        <f>IFERROR(INDEX(Dim_Proyectos!$A:$A,MATCH(A127,Dim_Proyectos!$B:$B,0)),"")</f>
        <v>P007</v>
      </c>
      <c r="C127" s="40" t="s">
        <v>133</v>
      </c>
      <c r="D127" s="40" t="s">
        <v>187</v>
      </c>
      <c r="E127" s="41" t="s">
        <v>451</v>
      </c>
      <c r="F127" s="40"/>
      <c r="G127" s="40"/>
      <c r="H127" s="40"/>
      <c r="I127" s="40"/>
      <c r="J127" s="40"/>
      <c r="K127" s="40" t="s">
        <v>136</v>
      </c>
      <c r="L127" s="40"/>
      <c r="M127" s="40"/>
      <c r="N127" s="40"/>
    </row>
    <row r="128" spans="1:14" ht="15" customHeight="1">
      <c r="A128" s="50" t="s">
        <v>361</v>
      </c>
      <c r="B128" s="43" t="str">
        <f>IFERROR(INDEX(Dim_Proyectos!$A:$A,MATCH(A128,Dim_Proyectos!$B:$B,0)),"")</f>
        <v>P007</v>
      </c>
      <c r="C128" s="44" t="s">
        <v>133</v>
      </c>
      <c r="D128" s="44" t="s">
        <v>187</v>
      </c>
      <c r="E128" s="45" t="s">
        <v>452</v>
      </c>
      <c r="F128" s="44"/>
      <c r="G128" s="44"/>
      <c r="H128" s="44"/>
      <c r="I128" s="44"/>
      <c r="J128" s="44"/>
      <c r="K128" s="44" t="s">
        <v>136</v>
      </c>
      <c r="L128" s="44"/>
      <c r="M128" s="44"/>
      <c r="N128" s="44"/>
    </row>
    <row r="129" spans="1:14" ht="20.25" customHeight="1">
      <c r="A129" s="50" t="s">
        <v>361</v>
      </c>
      <c r="B129" s="39" t="str">
        <f>IFERROR(INDEX(Dim_Proyectos!$A:$A,MATCH(A129,Dim_Proyectos!$B:$B,0)),"")</f>
        <v>P007</v>
      </c>
      <c r="C129" s="40" t="s">
        <v>133</v>
      </c>
      <c r="D129" s="40" t="s">
        <v>187</v>
      </c>
      <c r="E129" s="41" t="s">
        <v>453</v>
      </c>
      <c r="F129" s="40"/>
      <c r="G129" s="40"/>
      <c r="H129" s="40"/>
      <c r="I129" s="40"/>
      <c r="J129" s="40"/>
      <c r="K129" s="40" t="s">
        <v>136</v>
      </c>
      <c r="L129" s="40"/>
      <c r="M129" s="40"/>
      <c r="N129" s="40"/>
    </row>
    <row r="130" spans="1:14" ht="15" customHeight="1">
      <c r="A130" s="50" t="s">
        <v>361</v>
      </c>
      <c r="B130" s="43" t="str">
        <f>IFERROR(INDEX(Dim_Proyectos!$A:$A,MATCH(A130,Dim_Proyectos!$B:$B,0)),"")</f>
        <v>P007</v>
      </c>
      <c r="C130" s="44" t="s">
        <v>133</v>
      </c>
      <c r="D130" s="44" t="s">
        <v>187</v>
      </c>
      <c r="E130" s="45" t="s">
        <v>454</v>
      </c>
      <c r="F130" s="44"/>
      <c r="G130" s="44"/>
      <c r="H130" s="44"/>
      <c r="I130" s="44"/>
      <c r="J130" s="44"/>
      <c r="K130" s="44" t="s">
        <v>151</v>
      </c>
      <c r="L130" s="44"/>
      <c r="M130" s="44"/>
      <c r="N130" s="44"/>
    </row>
    <row r="131" spans="1:14" ht="15" customHeight="1">
      <c r="A131" s="50" t="s">
        <v>361</v>
      </c>
      <c r="B131" s="39" t="str">
        <f>IFERROR(INDEX(Dim_Proyectos!$A:$A,MATCH(A131,Dim_Proyectos!$B:$B,0)),"")</f>
        <v>P007</v>
      </c>
      <c r="C131" s="40" t="s">
        <v>133</v>
      </c>
      <c r="D131" s="40" t="s">
        <v>187</v>
      </c>
      <c r="E131" s="41" t="s">
        <v>455</v>
      </c>
      <c r="F131" s="40"/>
      <c r="G131" s="40"/>
      <c r="H131" s="40"/>
      <c r="I131" s="40"/>
      <c r="J131" s="40"/>
      <c r="K131" s="40" t="s">
        <v>151</v>
      </c>
      <c r="L131" s="40"/>
      <c r="M131" s="40"/>
      <c r="N131" s="40"/>
    </row>
    <row r="132" spans="1:14" ht="15" customHeight="1">
      <c r="A132" s="50" t="s">
        <v>361</v>
      </c>
      <c r="B132" s="43" t="str">
        <f>IFERROR(INDEX(Dim_Proyectos!$A:$A,MATCH(A132,Dim_Proyectos!$B:$B,0)),"")</f>
        <v>P007</v>
      </c>
      <c r="C132" s="44" t="s">
        <v>133</v>
      </c>
      <c r="D132" s="44" t="s">
        <v>187</v>
      </c>
      <c r="E132" s="45" t="s">
        <v>456</v>
      </c>
      <c r="F132" s="44"/>
      <c r="G132" s="44"/>
      <c r="H132" s="44"/>
      <c r="I132" s="44"/>
      <c r="J132" s="44"/>
      <c r="K132" s="44" t="s">
        <v>151</v>
      </c>
      <c r="L132" s="44"/>
      <c r="M132" s="44"/>
      <c r="N132" s="44"/>
    </row>
    <row r="133" spans="1:14" ht="15" customHeight="1">
      <c r="A133" s="50" t="s">
        <v>361</v>
      </c>
      <c r="B133" s="39" t="str">
        <f>IFERROR(INDEX(Dim_Proyectos!$A:$A,MATCH(A133,Dim_Proyectos!$B:$B,0)),"")</f>
        <v>P007</v>
      </c>
      <c r="C133" s="40" t="s">
        <v>133</v>
      </c>
      <c r="D133" s="40" t="s">
        <v>187</v>
      </c>
      <c r="E133" s="41" t="s">
        <v>457</v>
      </c>
      <c r="F133" s="40"/>
      <c r="G133" s="40"/>
      <c r="H133" s="40"/>
      <c r="I133" s="40"/>
      <c r="J133" s="40"/>
      <c r="K133" s="40" t="s">
        <v>151</v>
      </c>
      <c r="L133" s="40"/>
      <c r="M133" s="40"/>
      <c r="N133" s="40"/>
    </row>
    <row r="134" spans="1:14" ht="15" customHeight="1">
      <c r="A134" s="50" t="s">
        <v>361</v>
      </c>
      <c r="B134" s="43" t="str">
        <f>IFERROR(INDEX(Dim_Proyectos!$A:$A,MATCH(A134,Dim_Proyectos!$B:$B,0)),"")</f>
        <v>P007</v>
      </c>
      <c r="C134" s="44" t="s">
        <v>133</v>
      </c>
      <c r="D134" s="44" t="s">
        <v>187</v>
      </c>
      <c r="E134" s="45" t="s">
        <v>458</v>
      </c>
      <c r="F134" s="44"/>
      <c r="G134" s="44"/>
      <c r="H134" s="44"/>
      <c r="I134" s="44"/>
      <c r="J134" s="44"/>
      <c r="K134" s="44" t="s">
        <v>151</v>
      </c>
      <c r="L134" s="44"/>
      <c r="M134" s="44"/>
      <c r="N134" s="44"/>
    </row>
    <row r="135" spans="1:14" ht="15" customHeight="1">
      <c r="A135" s="50" t="s">
        <v>361</v>
      </c>
      <c r="B135" s="39" t="str">
        <f>IFERROR(INDEX(Dim_Proyectos!$A:$A,MATCH(A135,Dim_Proyectos!$B:$B,0)),"")</f>
        <v>P007</v>
      </c>
      <c r="C135" s="40" t="s">
        <v>133</v>
      </c>
      <c r="D135" s="40" t="s">
        <v>187</v>
      </c>
      <c r="E135" s="41" t="s">
        <v>459</v>
      </c>
      <c r="F135" s="40"/>
      <c r="G135" s="40"/>
      <c r="H135" s="40"/>
      <c r="I135" s="40"/>
      <c r="J135" s="40"/>
      <c r="K135" s="40" t="s">
        <v>151</v>
      </c>
      <c r="L135" s="40"/>
      <c r="M135" s="40"/>
      <c r="N135" s="40"/>
    </row>
    <row r="136" spans="1:14" ht="20.25" customHeight="1">
      <c r="A136" s="50" t="s">
        <v>361</v>
      </c>
      <c r="B136" s="43" t="str">
        <f>IFERROR(INDEX(Dim_Proyectos!$A:$A,MATCH(A136,Dim_Proyectos!$B:$B,0)),"")</f>
        <v>P007</v>
      </c>
      <c r="C136" s="44" t="s">
        <v>133</v>
      </c>
      <c r="D136" s="44" t="s">
        <v>187</v>
      </c>
      <c r="E136" s="45" t="s">
        <v>460</v>
      </c>
      <c r="F136" s="44"/>
      <c r="G136" s="44"/>
      <c r="H136" s="44"/>
      <c r="I136" s="44"/>
      <c r="J136" s="44"/>
      <c r="K136" s="44" t="s">
        <v>151</v>
      </c>
      <c r="L136" s="44"/>
      <c r="M136" s="44"/>
      <c r="N136" s="44"/>
    </row>
    <row r="137" spans="1:14" ht="15" customHeight="1">
      <c r="A137" s="50" t="s">
        <v>361</v>
      </c>
      <c r="B137" s="39" t="str">
        <f>IFERROR(INDEX(Dim_Proyectos!$A:$A,MATCH(A137,Dim_Proyectos!$B:$B,0)),"")</f>
        <v>P007</v>
      </c>
      <c r="C137" s="40" t="s">
        <v>133</v>
      </c>
      <c r="D137" s="40" t="s">
        <v>187</v>
      </c>
      <c r="E137" s="41" t="s">
        <v>461</v>
      </c>
      <c r="F137" s="40"/>
      <c r="G137" s="40"/>
      <c r="H137" s="40"/>
      <c r="I137" s="40"/>
      <c r="J137" s="40"/>
      <c r="K137" s="40" t="s">
        <v>151</v>
      </c>
      <c r="L137" s="40"/>
      <c r="M137" s="40"/>
      <c r="N137" s="40"/>
    </row>
    <row r="138" spans="1:14" ht="15" customHeight="1">
      <c r="A138" s="50" t="s">
        <v>361</v>
      </c>
      <c r="B138" s="43" t="str">
        <f>IFERROR(INDEX(Dim_Proyectos!$A:$A,MATCH(A138,Dim_Proyectos!$B:$B,0)),"")</f>
        <v>P007</v>
      </c>
      <c r="C138" s="44" t="s">
        <v>133</v>
      </c>
      <c r="D138" s="44" t="s">
        <v>187</v>
      </c>
      <c r="E138" s="45" t="s">
        <v>462</v>
      </c>
      <c r="F138" s="44"/>
      <c r="G138" s="44"/>
      <c r="H138" s="44"/>
      <c r="I138" s="44"/>
      <c r="J138" s="44"/>
      <c r="K138" s="44" t="s">
        <v>151</v>
      </c>
      <c r="L138" s="44"/>
      <c r="M138" s="44"/>
      <c r="N138" s="44"/>
    </row>
    <row r="139" spans="1:14" ht="15" customHeight="1">
      <c r="A139" s="50" t="s">
        <v>361</v>
      </c>
      <c r="B139" s="39" t="str">
        <f>IFERROR(INDEX(Dim_Proyectos!$A:$A,MATCH(A139,Dim_Proyectos!$B:$B,0)),"")</f>
        <v>P007</v>
      </c>
      <c r="C139" s="40" t="s">
        <v>133</v>
      </c>
      <c r="D139" s="40" t="s">
        <v>187</v>
      </c>
      <c r="E139" s="41" t="s">
        <v>463</v>
      </c>
      <c r="F139" s="40"/>
      <c r="G139" s="40"/>
      <c r="H139" s="40"/>
      <c r="I139" s="40"/>
      <c r="J139" s="40"/>
      <c r="K139" s="40" t="s">
        <v>136</v>
      </c>
      <c r="L139" s="40"/>
      <c r="M139" s="40"/>
      <c r="N139" s="40"/>
    </row>
    <row r="140" spans="1:14" ht="15" customHeight="1">
      <c r="A140" s="50" t="s">
        <v>361</v>
      </c>
      <c r="B140" s="43" t="str">
        <f>IFERROR(INDEX(Dim_Proyectos!$A:$A,MATCH(A140,Dim_Proyectos!$B:$B,0)),"")</f>
        <v>P007</v>
      </c>
      <c r="C140" s="44" t="s">
        <v>133</v>
      </c>
      <c r="D140" s="44" t="s">
        <v>187</v>
      </c>
      <c r="E140" s="45" t="s">
        <v>464</v>
      </c>
      <c r="F140" s="44"/>
      <c r="G140" s="44"/>
      <c r="H140" s="44"/>
      <c r="I140" s="44"/>
      <c r="J140" s="44"/>
      <c r="K140" s="44" t="s">
        <v>136</v>
      </c>
      <c r="L140" s="44"/>
      <c r="M140" s="44"/>
      <c r="N140" s="44"/>
    </row>
    <row r="141" spans="1:14" ht="15" customHeight="1">
      <c r="A141" s="50" t="s">
        <v>361</v>
      </c>
      <c r="B141" s="39" t="str">
        <f>IFERROR(INDEX(Dim_Proyectos!$A:$A,MATCH(A141,Dim_Proyectos!$B:$B,0)),"")</f>
        <v>P007</v>
      </c>
      <c r="C141" s="40" t="s">
        <v>133</v>
      </c>
      <c r="D141" s="40" t="s">
        <v>187</v>
      </c>
      <c r="E141" s="41" t="s">
        <v>407</v>
      </c>
      <c r="F141" s="40"/>
      <c r="G141" s="40"/>
      <c r="H141" s="40"/>
      <c r="I141" s="40"/>
      <c r="J141" s="40"/>
      <c r="K141" s="40" t="s">
        <v>136</v>
      </c>
      <c r="L141" s="40"/>
      <c r="M141" s="40"/>
      <c r="N141" s="40"/>
    </row>
    <row r="142" spans="1:14" ht="15" customHeight="1">
      <c r="A142" s="50" t="s">
        <v>361</v>
      </c>
      <c r="B142" s="43" t="str">
        <f>IFERROR(INDEX(Dim_Proyectos!$A:$A,MATCH(A142,Dim_Proyectos!$B:$B,0)),"")</f>
        <v>P007</v>
      </c>
      <c r="C142" s="44" t="s">
        <v>133</v>
      </c>
      <c r="D142" s="44" t="s">
        <v>157</v>
      </c>
      <c r="E142" s="45" t="s">
        <v>465</v>
      </c>
      <c r="F142" s="44"/>
      <c r="G142" s="44"/>
      <c r="H142" s="44"/>
      <c r="I142" s="44"/>
      <c r="J142" s="44"/>
      <c r="K142" s="44" t="s">
        <v>136</v>
      </c>
      <c r="L142" s="44"/>
      <c r="M142" s="44"/>
      <c r="N142" s="44"/>
    </row>
    <row r="143" spans="1:14" ht="15" customHeight="1">
      <c r="A143" s="50" t="s">
        <v>361</v>
      </c>
      <c r="B143" s="39" t="str">
        <f>IFERROR(INDEX(Dim_Proyectos!$A:$A,MATCH(A143,Dim_Proyectos!$B:$B,0)),"")</f>
        <v>P007</v>
      </c>
      <c r="C143" s="40" t="s">
        <v>133</v>
      </c>
      <c r="D143" s="40" t="s">
        <v>157</v>
      </c>
      <c r="E143" s="41" t="s">
        <v>466</v>
      </c>
      <c r="F143" s="40"/>
      <c r="G143" s="40"/>
      <c r="H143" s="40"/>
      <c r="I143" s="40"/>
      <c r="J143" s="40"/>
      <c r="K143" s="40" t="s">
        <v>136</v>
      </c>
      <c r="L143" s="40"/>
      <c r="M143" s="40"/>
      <c r="N143" s="40"/>
    </row>
    <row r="144" spans="1:14" ht="15" customHeight="1">
      <c r="A144" s="50" t="s">
        <v>361</v>
      </c>
      <c r="B144" s="43" t="str">
        <f>IFERROR(INDEX(Dim_Proyectos!$A:$A,MATCH(A144,Dim_Proyectos!$B:$B,0)),"")</f>
        <v>P007</v>
      </c>
      <c r="C144" s="44" t="s">
        <v>133</v>
      </c>
      <c r="D144" s="44" t="s">
        <v>157</v>
      </c>
      <c r="E144" s="45" t="s">
        <v>392</v>
      </c>
      <c r="F144" s="44"/>
      <c r="G144" s="44"/>
      <c r="H144" s="44"/>
      <c r="I144" s="44"/>
      <c r="J144" s="44"/>
      <c r="K144" s="44" t="s">
        <v>136</v>
      </c>
      <c r="L144" s="44"/>
      <c r="M144" s="44"/>
      <c r="N144" s="44"/>
    </row>
    <row r="145" spans="1:14" ht="15" customHeight="1">
      <c r="A145" s="50" t="s">
        <v>361</v>
      </c>
      <c r="B145" s="39" t="str">
        <f>IFERROR(INDEX(Dim_Proyectos!$A:$A,MATCH(A145,Dim_Proyectos!$B:$B,0)),"")</f>
        <v>P007</v>
      </c>
      <c r="C145" s="40" t="s">
        <v>133</v>
      </c>
      <c r="D145" s="40" t="s">
        <v>157</v>
      </c>
      <c r="E145" s="41" t="s">
        <v>467</v>
      </c>
      <c r="F145" s="40"/>
      <c r="G145" s="40"/>
      <c r="H145" s="40"/>
      <c r="I145" s="40"/>
      <c r="J145" s="40"/>
      <c r="K145" s="40" t="s">
        <v>136</v>
      </c>
      <c r="L145" s="40"/>
      <c r="M145" s="40"/>
      <c r="N145" s="40"/>
    </row>
    <row r="146" spans="1:14" ht="15" customHeight="1">
      <c r="A146" s="50" t="s">
        <v>361</v>
      </c>
      <c r="B146" s="43" t="str">
        <f>IFERROR(INDEX(Dim_Proyectos!$A:$A,MATCH(A146,Dim_Proyectos!$B:$B,0)),"")</f>
        <v>P007</v>
      </c>
      <c r="C146" s="44" t="s">
        <v>133</v>
      </c>
      <c r="D146" s="44" t="s">
        <v>157</v>
      </c>
      <c r="E146" s="45" t="s">
        <v>468</v>
      </c>
      <c r="F146" s="44"/>
      <c r="G146" s="44"/>
      <c r="H146" s="44"/>
      <c r="I146" s="44"/>
      <c r="J146" s="44"/>
      <c r="K146" s="44" t="s">
        <v>136</v>
      </c>
      <c r="L146" s="44"/>
      <c r="M146" s="44"/>
      <c r="N146" s="44"/>
    </row>
    <row r="147" spans="1:14" ht="15" customHeight="1">
      <c r="A147" s="50" t="s">
        <v>361</v>
      </c>
      <c r="B147" s="39" t="str">
        <f>IFERROR(INDEX(Dim_Proyectos!$A:$A,MATCH(A147,Dim_Proyectos!$B:$B,0)),"")</f>
        <v>P007</v>
      </c>
      <c r="C147" s="40" t="s">
        <v>133</v>
      </c>
      <c r="D147" s="40" t="s">
        <v>157</v>
      </c>
      <c r="E147" s="41" t="s">
        <v>469</v>
      </c>
      <c r="F147" s="40"/>
      <c r="G147" s="40"/>
      <c r="H147" s="40"/>
      <c r="I147" s="40"/>
      <c r="J147" s="40"/>
      <c r="K147" s="40" t="s">
        <v>136</v>
      </c>
      <c r="L147" s="40"/>
      <c r="M147" s="40"/>
      <c r="N147" s="40"/>
    </row>
    <row r="148" spans="1:14" ht="15" customHeight="1">
      <c r="A148" s="50" t="s">
        <v>361</v>
      </c>
      <c r="B148" s="43" t="str">
        <f>IFERROR(INDEX(Dim_Proyectos!$A:$A,MATCH(A148,Dim_Proyectos!$B:$B,0)),"")</f>
        <v>P007</v>
      </c>
      <c r="C148" s="44" t="s">
        <v>133</v>
      </c>
      <c r="D148" s="44" t="s">
        <v>157</v>
      </c>
      <c r="E148" s="45" t="s">
        <v>470</v>
      </c>
      <c r="F148" s="44"/>
      <c r="G148" s="44"/>
      <c r="H148" s="44"/>
      <c r="I148" s="44"/>
      <c r="J148" s="44"/>
      <c r="K148" s="44" t="s">
        <v>136</v>
      </c>
      <c r="L148" s="44"/>
      <c r="M148" s="44"/>
      <c r="N148" s="44"/>
    </row>
    <row r="149" spans="1:14" ht="15" customHeight="1">
      <c r="A149" s="50" t="s">
        <v>361</v>
      </c>
      <c r="B149" s="39" t="str">
        <f>IFERROR(INDEX(Dim_Proyectos!$A:$A,MATCH(A149,Dim_Proyectos!$B:$B,0)),"")</f>
        <v>P007</v>
      </c>
      <c r="C149" s="40" t="s">
        <v>133</v>
      </c>
      <c r="D149" s="40" t="s">
        <v>157</v>
      </c>
      <c r="E149" s="41" t="s">
        <v>471</v>
      </c>
      <c r="F149" s="40"/>
      <c r="G149" s="40"/>
      <c r="H149" s="40"/>
      <c r="I149" s="40"/>
      <c r="J149" s="40"/>
      <c r="K149" s="40" t="s">
        <v>136</v>
      </c>
      <c r="L149" s="40"/>
      <c r="M149" s="40"/>
      <c r="N149" s="40"/>
    </row>
    <row r="150" spans="1:14" ht="15" customHeight="1">
      <c r="A150" s="50" t="s">
        <v>361</v>
      </c>
      <c r="B150" s="43" t="str">
        <f>IFERROR(INDEX(Dim_Proyectos!$A:$A,MATCH(A150,Dim_Proyectos!$B:$B,0)),"")</f>
        <v>P007</v>
      </c>
      <c r="C150" s="44" t="s">
        <v>133</v>
      </c>
      <c r="D150" s="44" t="s">
        <v>157</v>
      </c>
      <c r="E150" s="45" t="s">
        <v>472</v>
      </c>
      <c r="F150" s="44"/>
      <c r="G150" s="44"/>
      <c r="H150" s="44"/>
      <c r="I150" s="44"/>
      <c r="J150" s="44"/>
      <c r="K150" s="44" t="s">
        <v>136</v>
      </c>
      <c r="L150" s="44"/>
      <c r="M150" s="44"/>
      <c r="N150" s="44"/>
    </row>
    <row r="151" spans="1:14" ht="15" customHeight="1">
      <c r="A151" s="50" t="s">
        <v>361</v>
      </c>
      <c r="B151" s="39" t="str">
        <f>IFERROR(INDEX(Dim_Proyectos!$A:$A,MATCH(A151,Dim_Proyectos!$B:$B,0)),"")</f>
        <v>P007</v>
      </c>
      <c r="C151" s="40" t="s">
        <v>133</v>
      </c>
      <c r="D151" s="40" t="s">
        <v>157</v>
      </c>
      <c r="E151" s="41" t="s">
        <v>473</v>
      </c>
      <c r="F151" s="40"/>
      <c r="G151" s="40"/>
      <c r="H151" s="40"/>
      <c r="I151" s="40"/>
      <c r="J151" s="40"/>
      <c r="K151" s="40" t="s">
        <v>136</v>
      </c>
      <c r="L151" s="40"/>
      <c r="M151" s="40"/>
      <c r="N151" s="40"/>
    </row>
    <row r="152" spans="1:14" ht="15" customHeight="1">
      <c r="A152" s="50" t="s">
        <v>361</v>
      </c>
      <c r="B152" s="43" t="str">
        <f>IFERROR(INDEX(Dim_Proyectos!$A:$A,MATCH(A152,Dim_Proyectos!$B:$B,0)),"")</f>
        <v>P007</v>
      </c>
      <c r="C152" s="44" t="s">
        <v>133</v>
      </c>
      <c r="D152" s="44" t="s">
        <v>157</v>
      </c>
      <c r="E152" s="45" t="s">
        <v>474</v>
      </c>
      <c r="F152" s="44"/>
      <c r="G152" s="44"/>
      <c r="H152" s="44"/>
      <c r="I152" s="44"/>
      <c r="J152" s="44"/>
      <c r="K152" s="44" t="s">
        <v>136</v>
      </c>
      <c r="L152" s="44"/>
      <c r="M152" s="44"/>
      <c r="N152" s="44"/>
    </row>
    <row r="153" spans="1:14" ht="15" customHeight="1">
      <c r="A153" s="50" t="s">
        <v>361</v>
      </c>
      <c r="B153" s="39" t="str">
        <f>IFERROR(INDEX(Dim_Proyectos!$A:$A,MATCH(A153,Dim_Proyectos!$B:$B,0)),"")</f>
        <v>P007</v>
      </c>
      <c r="C153" s="40" t="s">
        <v>133</v>
      </c>
      <c r="D153" s="40" t="s">
        <v>157</v>
      </c>
      <c r="E153" s="41" t="s">
        <v>475</v>
      </c>
      <c r="F153" s="40"/>
      <c r="G153" s="40"/>
      <c r="H153" s="40"/>
      <c r="I153" s="40"/>
      <c r="J153" s="40"/>
      <c r="K153" s="40" t="s">
        <v>136</v>
      </c>
      <c r="L153" s="40"/>
      <c r="M153" s="40"/>
      <c r="N153" s="40"/>
    </row>
    <row r="154" spans="1:14" ht="15" customHeight="1">
      <c r="A154" s="50" t="s">
        <v>361</v>
      </c>
      <c r="B154" s="43" t="str">
        <f>IFERROR(INDEX(Dim_Proyectos!$A:$A,MATCH(A154,Dim_Proyectos!$B:$B,0)),"")</f>
        <v>P007</v>
      </c>
      <c r="C154" s="44" t="s">
        <v>133</v>
      </c>
      <c r="D154" s="44" t="s">
        <v>157</v>
      </c>
      <c r="E154" s="45" t="s">
        <v>476</v>
      </c>
      <c r="F154" s="44"/>
      <c r="G154" s="44"/>
      <c r="H154" s="44"/>
      <c r="I154" s="44"/>
      <c r="J154" s="44"/>
      <c r="K154" s="44" t="s">
        <v>136</v>
      </c>
      <c r="L154" s="44"/>
      <c r="M154" s="44"/>
      <c r="N154" s="44"/>
    </row>
    <row r="155" spans="1:14" ht="15" customHeight="1">
      <c r="A155" s="50" t="s">
        <v>361</v>
      </c>
      <c r="B155" s="39" t="str">
        <f>IFERROR(INDEX(Dim_Proyectos!$A:$A,MATCH(A155,Dim_Proyectos!$B:$B,0)),"")</f>
        <v>P007</v>
      </c>
      <c r="C155" s="40" t="s">
        <v>133</v>
      </c>
      <c r="D155" s="40" t="s">
        <v>157</v>
      </c>
      <c r="E155" s="41" t="s">
        <v>477</v>
      </c>
      <c r="F155" s="40"/>
      <c r="G155" s="40"/>
      <c r="H155" s="40"/>
      <c r="I155" s="40"/>
      <c r="J155" s="40"/>
      <c r="K155" s="40" t="s">
        <v>136</v>
      </c>
      <c r="L155" s="40"/>
      <c r="M155" s="40"/>
      <c r="N155" s="40"/>
    </row>
    <row r="156" spans="1:14" ht="15" customHeight="1">
      <c r="A156" s="50" t="s">
        <v>361</v>
      </c>
      <c r="B156" s="43" t="str">
        <f>IFERROR(INDEX(Dim_Proyectos!$A:$A,MATCH(A156,Dim_Proyectos!$B:$B,0)),"")</f>
        <v>P007</v>
      </c>
      <c r="C156" s="44" t="s">
        <v>133</v>
      </c>
      <c r="D156" s="44" t="s">
        <v>157</v>
      </c>
      <c r="E156" s="45" t="s">
        <v>478</v>
      </c>
      <c r="F156" s="44"/>
      <c r="G156" s="44"/>
      <c r="H156" s="44"/>
      <c r="I156" s="44"/>
      <c r="J156" s="44"/>
      <c r="K156" s="44" t="s">
        <v>136</v>
      </c>
      <c r="L156" s="44"/>
      <c r="M156" s="44"/>
      <c r="N156" s="44"/>
    </row>
    <row r="157" spans="1:14" ht="15" customHeight="1">
      <c r="A157" s="50" t="s">
        <v>361</v>
      </c>
      <c r="B157" s="39" t="str">
        <f>IFERROR(INDEX(Dim_Proyectos!$A:$A,MATCH(A157,Dim_Proyectos!$B:$B,0)),"")</f>
        <v>P007</v>
      </c>
      <c r="C157" s="40" t="s">
        <v>133</v>
      </c>
      <c r="D157" s="40" t="s">
        <v>157</v>
      </c>
      <c r="E157" s="41" t="s">
        <v>479</v>
      </c>
      <c r="F157" s="40"/>
      <c r="G157" s="40"/>
      <c r="H157" s="40"/>
      <c r="I157" s="40"/>
      <c r="J157" s="40"/>
      <c r="K157" s="40" t="s">
        <v>136</v>
      </c>
      <c r="L157" s="40"/>
      <c r="M157" s="40"/>
      <c r="N157" s="40"/>
    </row>
    <row r="158" spans="1:14" ht="15" customHeight="1">
      <c r="A158" s="50" t="s">
        <v>361</v>
      </c>
      <c r="B158" s="43" t="str">
        <f>IFERROR(INDEX(Dim_Proyectos!$A:$A,MATCH(A158,Dim_Proyectos!$B:$B,0)),"")</f>
        <v>P007</v>
      </c>
      <c r="C158" s="44" t="s">
        <v>133</v>
      </c>
      <c r="D158" s="44" t="s">
        <v>206</v>
      </c>
      <c r="E158" s="45" t="s">
        <v>480</v>
      </c>
      <c r="F158" s="44"/>
      <c r="G158" s="44"/>
      <c r="H158" s="44"/>
      <c r="I158" s="44"/>
      <c r="J158" s="44"/>
      <c r="K158" s="44" t="s">
        <v>136</v>
      </c>
      <c r="L158" s="44"/>
      <c r="M158" s="44"/>
      <c r="N158" s="44"/>
    </row>
    <row r="159" spans="1:14" ht="15" customHeight="1">
      <c r="A159" s="50" t="s">
        <v>361</v>
      </c>
      <c r="B159" s="39" t="str">
        <f>IFERROR(INDEX(Dim_Proyectos!$A:$A,MATCH(A159,Dim_Proyectos!$B:$B,0)),"")</f>
        <v>P007</v>
      </c>
      <c r="C159" s="40" t="s">
        <v>133</v>
      </c>
      <c r="D159" s="40" t="s">
        <v>206</v>
      </c>
      <c r="E159" s="41" t="s">
        <v>481</v>
      </c>
      <c r="F159" s="40"/>
      <c r="G159" s="40"/>
      <c r="H159" s="40"/>
      <c r="I159" s="40"/>
      <c r="J159" s="40"/>
      <c r="K159" s="40" t="s">
        <v>136</v>
      </c>
      <c r="L159" s="40"/>
      <c r="M159" s="40"/>
      <c r="N159" s="40"/>
    </row>
    <row r="160" spans="1:14" ht="15" customHeight="1">
      <c r="A160" s="50" t="s">
        <v>361</v>
      </c>
      <c r="B160" s="43" t="str">
        <f>IFERROR(INDEX(Dim_Proyectos!$A:$A,MATCH(A160,Dim_Proyectos!$B:$B,0)),"")</f>
        <v>P007</v>
      </c>
      <c r="C160" s="44" t="s">
        <v>133</v>
      </c>
      <c r="D160" s="44" t="s">
        <v>206</v>
      </c>
      <c r="E160" s="45" t="s">
        <v>482</v>
      </c>
      <c r="F160" s="44"/>
      <c r="G160" s="44"/>
      <c r="H160" s="44"/>
      <c r="I160" s="44"/>
      <c r="J160" s="44"/>
      <c r="K160" s="44" t="s">
        <v>136</v>
      </c>
      <c r="L160" s="44"/>
      <c r="M160" s="44"/>
      <c r="N160" s="44"/>
    </row>
    <row r="161" spans="1:14" ht="15" customHeight="1">
      <c r="A161" s="50" t="s">
        <v>361</v>
      </c>
      <c r="B161" s="39" t="str">
        <f>IFERROR(INDEX(Dim_Proyectos!$A:$A,MATCH(A161,Dim_Proyectos!$B:$B,0)),"")</f>
        <v>P007</v>
      </c>
      <c r="C161" s="40" t="s">
        <v>133</v>
      </c>
      <c r="D161" s="40" t="s">
        <v>206</v>
      </c>
      <c r="E161" s="41" t="s">
        <v>483</v>
      </c>
      <c r="F161" s="40"/>
      <c r="G161" s="40"/>
      <c r="H161" s="40"/>
      <c r="I161" s="40"/>
      <c r="J161" s="40"/>
      <c r="K161" s="40" t="s">
        <v>151</v>
      </c>
      <c r="L161" s="40"/>
      <c r="M161" s="40"/>
      <c r="N161" s="40"/>
    </row>
    <row r="162" spans="1:14" ht="15" customHeight="1">
      <c r="A162" s="50" t="s">
        <v>361</v>
      </c>
      <c r="B162" s="43" t="str">
        <f>IFERROR(INDEX(Dim_Proyectos!$A:$A,MATCH(A162,Dim_Proyectos!$B:$B,0)),"")</f>
        <v>P007</v>
      </c>
      <c r="C162" s="44" t="s">
        <v>133</v>
      </c>
      <c r="D162" s="44" t="s">
        <v>206</v>
      </c>
      <c r="E162" s="45" t="s">
        <v>234</v>
      </c>
      <c r="F162" s="44"/>
      <c r="G162" s="44"/>
      <c r="H162" s="44"/>
      <c r="I162" s="44"/>
      <c r="J162" s="44"/>
      <c r="K162" s="44" t="s">
        <v>151</v>
      </c>
      <c r="L162" s="44"/>
      <c r="M162" s="44"/>
      <c r="N162" s="44"/>
    </row>
    <row r="163" spans="1:14" ht="15" customHeight="1">
      <c r="A163" s="50" t="s">
        <v>361</v>
      </c>
      <c r="B163" s="39" t="str">
        <f>IFERROR(INDEX(Dim_Proyectos!$A:$A,MATCH(A163,Dim_Proyectos!$B:$B,0)),"")</f>
        <v>P007</v>
      </c>
      <c r="C163" s="40" t="s">
        <v>133</v>
      </c>
      <c r="D163" s="40" t="s">
        <v>206</v>
      </c>
      <c r="E163" s="41" t="s">
        <v>484</v>
      </c>
      <c r="F163" s="40"/>
      <c r="G163" s="40"/>
      <c r="H163" s="40"/>
      <c r="I163" s="40"/>
      <c r="J163" s="40"/>
      <c r="K163" s="40" t="s">
        <v>151</v>
      </c>
      <c r="L163" s="40"/>
      <c r="M163" s="40"/>
      <c r="N163" s="40"/>
    </row>
    <row r="164" spans="1:14" ht="15" customHeight="1">
      <c r="A164" s="50" t="s">
        <v>361</v>
      </c>
      <c r="B164" s="43" t="str">
        <f>IFERROR(INDEX(Dim_Proyectos!$A:$A,MATCH(A164,Dim_Proyectos!$B:$B,0)),"")</f>
        <v>P007</v>
      </c>
      <c r="C164" s="44" t="s">
        <v>133</v>
      </c>
      <c r="D164" s="44" t="s">
        <v>206</v>
      </c>
      <c r="E164" s="45" t="s">
        <v>484</v>
      </c>
      <c r="F164" s="44"/>
      <c r="G164" s="44"/>
      <c r="H164" s="44"/>
      <c r="I164" s="44"/>
      <c r="J164" s="44"/>
      <c r="K164" s="44" t="s">
        <v>151</v>
      </c>
      <c r="L164" s="44"/>
      <c r="M164" s="44"/>
      <c r="N164" s="44"/>
    </row>
    <row r="165" spans="1:14" ht="15" customHeight="1">
      <c r="A165" s="50" t="s">
        <v>361</v>
      </c>
      <c r="B165" s="39" t="str">
        <f>IFERROR(INDEX(Dim_Proyectos!$A:$A,MATCH(A165,Dim_Proyectos!$B:$B,0)),"")</f>
        <v>P007</v>
      </c>
      <c r="C165" s="40" t="s">
        <v>133</v>
      </c>
      <c r="D165" s="40" t="s">
        <v>206</v>
      </c>
      <c r="E165" s="41" t="s">
        <v>485</v>
      </c>
      <c r="F165" s="40"/>
      <c r="G165" s="40"/>
      <c r="H165" s="40"/>
      <c r="I165" s="40"/>
      <c r="J165" s="40"/>
      <c r="K165" s="40" t="s">
        <v>151</v>
      </c>
      <c r="L165" s="40"/>
      <c r="M165" s="40"/>
      <c r="N165" s="40"/>
    </row>
    <row r="166" spans="1:14" ht="15" customHeight="1">
      <c r="A166" s="50" t="s">
        <v>361</v>
      </c>
      <c r="B166" s="43" t="str">
        <f>IFERROR(INDEX(Dim_Proyectos!$A:$A,MATCH(A166,Dim_Proyectos!$B:$B,0)),"")</f>
        <v>P007</v>
      </c>
      <c r="C166" s="44" t="s">
        <v>133</v>
      </c>
      <c r="D166" s="44" t="s">
        <v>206</v>
      </c>
      <c r="E166" s="45" t="s">
        <v>485</v>
      </c>
      <c r="F166" s="44"/>
      <c r="G166" s="44"/>
      <c r="H166" s="44"/>
      <c r="I166" s="44"/>
      <c r="J166" s="44"/>
      <c r="K166" s="44" t="s">
        <v>151</v>
      </c>
      <c r="L166" s="44"/>
      <c r="M166" s="44"/>
      <c r="N166" s="44"/>
    </row>
    <row r="167" spans="1:14" ht="15" customHeight="1">
      <c r="A167" s="50" t="s">
        <v>361</v>
      </c>
      <c r="B167" s="39" t="str">
        <f>IFERROR(INDEX(Dim_Proyectos!$A:$A,MATCH(A167,Dim_Proyectos!$B:$B,0)),"")</f>
        <v>P007</v>
      </c>
      <c r="C167" s="40" t="s">
        <v>133</v>
      </c>
      <c r="D167" s="40" t="s">
        <v>206</v>
      </c>
      <c r="E167" s="41" t="s">
        <v>486</v>
      </c>
      <c r="F167" s="40"/>
      <c r="G167" s="40"/>
      <c r="H167" s="40"/>
      <c r="I167" s="40"/>
      <c r="J167" s="40"/>
      <c r="K167" s="40" t="s">
        <v>151</v>
      </c>
      <c r="L167" s="40"/>
      <c r="M167" s="40"/>
      <c r="N167" s="40"/>
    </row>
    <row r="168" spans="1:14" ht="15" customHeight="1">
      <c r="A168" s="50" t="s">
        <v>361</v>
      </c>
      <c r="B168" s="43" t="str">
        <f>IFERROR(INDEX(Dim_Proyectos!$A:$A,MATCH(A168,Dim_Proyectos!$B:$B,0)),"")</f>
        <v>P007</v>
      </c>
      <c r="C168" s="44" t="s">
        <v>133</v>
      </c>
      <c r="D168" s="44" t="s">
        <v>206</v>
      </c>
      <c r="E168" s="45" t="s">
        <v>486</v>
      </c>
      <c r="F168" s="44"/>
      <c r="G168" s="44"/>
      <c r="H168" s="44"/>
      <c r="I168" s="44"/>
      <c r="J168" s="44"/>
      <c r="K168" s="44" t="s">
        <v>151</v>
      </c>
      <c r="L168" s="44"/>
      <c r="M168" s="44"/>
      <c r="N168" s="44"/>
    </row>
    <row r="169" spans="1:14" ht="15" customHeight="1">
      <c r="A169" s="50" t="s">
        <v>361</v>
      </c>
      <c r="B169" s="39" t="str">
        <f>IFERROR(INDEX(Dim_Proyectos!$A:$A,MATCH(A169,Dim_Proyectos!$B:$B,0)),"")</f>
        <v>P007</v>
      </c>
      <c r="C169" s="40" t="s">
        <v>133</v>
      </c>
      <c r="D169" s="40" t="s">
        <v>206</v>
      </c>
      <c r="E169" s="41" t="s">
        <v>487</v>
      </c>
      <c r="F169" s="40"/>
      <c r="G169" s="40"/>
      <c r="H169" s="40"/>
      <c r="I169" s="40"/>
      <c r="J169" s="40"/>
      <c r="K169" s="40" t="s">
        <v>136</v>
      </c>
      <c r="L169" s="40"/>
      <c r="M169" s="40"/>
      <c r="N169" s="40"/>
    </row>
    <row r="170" spans="1:14" ht="15" customHeight="1">
      <c r="A170" s="50" t="s">
        <v>361</v>
      </c>
      <c r="B170" s="43" t="str">
        <f>IFERROR(INDEX(Dim_Proyectos!$A:$A,MATCH(A170,Dim_Proyectos!$B:$B,0)),"")</f>
        <v>P007</v>
      </c>
      <c r="C170" s="44" t="s">
        <v>133</v>
      </c>
      <c r="D170" s="44" t="s">
        <v>226</v>
      </c>
      <c r="E170" s="45" t="s">
        <v>395</v>
      </c>
      <c r="F170" s="44"/>
      <c r="G170" s="44"/>
      <c r="H170" s="44"/>
      <c r="I170" s="44"/>
      <c r="J170" s="44"/>
      <c r="K170" s="44" t="s">
        <v>136</v>
      </c>
      <c r="L170" s="44"/>
      <c r="M170" s="44"/>
      <c r="N170" s="44"/>
    </row>
    <row r="171" spans="1:14" ht="15" customHeight="1">
      <c r="A171" s="50" t="s">
        <v>361</v>
      </c>
      <c r="B171" s="39" t="str">
        <f>IFERROR(INDEX(Dim_Proyectos!$A:$A,MATCH(A171,Dim_Proyectos!$B:$B,0)),"")</f>
        <v>P007</v>
      </c>
      <c r="C171" s="40" t="s">
        <v>133</v>
      </c>
      <c r="D171" s="40" t="s">
        <v>226</v>
      </c>
      <c r="E171" s="41" t="s">
        <v>395</v>
      </c>
      <c r="F171" s="40"/>
      <c r="G171" s="40"/>
      <c r="H171" s="40"/>
      <c r="I171" s="40"/>
      <c r="J171" s="40"/>
      <c r="K171" s="40" t="s">
        <v>151</v>
      </c>
      <c r="L171" s="40"/>
      <c r="M171" s="40"/>
      <c r="N171" s="40"/>
    </row>
    <row r="172" spans="1:14" ht="15" customHeight="1">
      <c r="A172" s="50" t="s">
        <v>361</v>
      </c>
      <c r="B172" s="43" t="str">
        <f>IFERROR(INDEX(Dim_Proyectos!$A:$A,MATCH(A172,Dim_Proyectos!$B:$B,0)),"")</f>
        <v>P007</v>
      </c>
      <c r="C172" s="44" t="s">
        <v>133</v>
      </c>
      <c r="D172" s="44" t="s">
        <v>134</v>
      </c>
      <c r="E172" s="45" t="s">
        <v>134</v>
      </c>
      <c r="F172" s="44"/>
      <c r="G172" s="44"/>
      <c r="H172" s="44"/>
      <c r="I172" s="44"/>
      <c r="J172" s="44"/>
      <c r="K172" s="44" t="s">
        <v>136</v>
      </c>
      <c r="L172" s="44"/>
      <c r="M172" s="44"/>
      <c r="N172" s="44"/>
    </row>
    <row r="173" spans="1:14" ht="15" customHeight="1">
      <c r="A173" s="50" t="s">
        <v>361</v>
      </c>
      <c r="B173" s="39" t="str">
        <f>IFERROR(INDEX(Dim_Proyectos!$A:$A,MATCH(A173,Dim_Proyectos!$B:$B,0)),"")</f>
        <v>P007</v>
      </c>
      <c r="C173" s="40" t="s">
        <v>133</v>
      </c>
      <c r="D173" s="40" t="s">
        <v>192</v>
      </c>
      <c r="E173" s="41" t="s">
        <v>436</v>
      </c>
      <c r="F173" s="40"/>
      <c r="G173" s="40"/>
      <c r="H173" s="40"/>
      <c r="I173" s="40"/>
      <c r="J173" s="40"/>
      <c r="K173" s="40" t="s">
        <v>230</v>
      </c>
      <c r="L173" s="40"/>
      <c r="M173" s="40"/>
      <c r="N173" s="40"/>
    </row>
    <row r="174" spans="1:14" ht="15" customHeight="1">
      <c r="A174" s="50" t="s">
        <v>361</v>
      </c>
      <c r="B174" s="43" t="str">
        <f>IFERROR(INDEX(Dim_Proyectos!$A:$A,MATCH(A174,Dim_Proyectos!$B:$B,0)),"")</f>
        <v>P007</v>
      </c>
      <c r="C174" s="44" t="s">
        <v>133</v>
      </c>
      <c r="D174" s="44" t="s">
        <v>192</v>
      </c>
      <c r="E174" s="45" t="s">
        <v>488</v>
      </c>
      <c r="F174" s="44"/>
      <c r="G174" s="44"/>
      <c r="H174" s="44"/>
      <c r="I174" s="44"/>
      <c r="J174" s="44"/>
      <c r="K174" s="44" t="s">
        <v>230</v>
      </c>
      <c r="L174" s="44"/>
      <c r="M174" s="44"/>
      <c r="N174" s="44"/>
    </row>
    <row r="175" spans="1:14" ht="15" customHeight="1">
      <c r="A175" s="50" t="s">
        <v>361</v>
      </c>
      <c r="B175" s="39" t="str">
        <f>IFERROR(INDEX(Dim_Proyectos!$A:$A,MATCH(A175,Dim_Proyectos!$B:$B,0)),"")</f>
        <v>P007</v>
      </c>
      <c r="C175" s="40" t="s">
        <v>133</v>
      </c>
      <c r="D175" s="40" t="s">
        <v>192</v>
      </c>
      <c r="E175" s="41" t="s">
        <v>489</v>
      </c>
      <c r="F175" s="40"/>
      <c r="G175" s="40"/>
      <c r="H175" s="40"/>
      <c r="I175" s="40"/>
      <c r="J175" s="40"/>
      <c r="K175" s="40" t="s">
        <v>230</v>
      </c>
      <c r="L175" s="40"/>
      <c r="M175" s="40"/>
      <c r="N175" s="40"/>
    </row>
    <row r="176" spans="1:14" ht="15" customHeight="1">
      <c r="A176" s="50" t="s">
        <v>361</v>
      </c>
      <c r="B176" s="43" t="str">
        <f>IFERROR(INDEX(Dim_Proyectos!$A:$A,MATCH(A176,Dim_Proyectos!$B:$B,0)),"")</f>
        <v>P007</v>
      </c>
      <c r="C176" s="44" t="s">
        <v>133</v>
      </c>
      <c r="D176" s="44" t="s">
        <v>192</v>
      </c>
      <c r="E176" s="45" t="s">
        <v>488</v>
      </c>
      <c r="F176" s="44"/>
      <c r="G176" s="44"/>
      <c r="H176" s="44"/>
      <c r="I176" s="44"/>
      <c r="J176" s="44"/>
      <c r="K176" s="44" t="s">
        <v>230</v>
      </c>
      <c r="L176" s="44"/>
      <c r="M176" s="44"/>
      <c r="N176" s="44"/>
    </row>
    <row r="177" spans="1:14" ht="15" customHeight="1">
      <c r="A177" s="50" t="s">
        <v>361</v>
      </c>
      <c r="B177" s="39" t="str">
        <f>IFERROR(INDEX(Dim_Proyectos!$A:$A,MATCH(A177,Dim_Proyectos!$B:$B,0)),"")</f>
        <v>P007</v>
      </c>
      <c r="C177" s="40" t="s">
        <v>133</v>
      </c>
      <c r="D177" s="40" t="s">
        <v>192</v>
      </c>
      <c r="E177" s="41" t="s">
        <v>489</v>
      </c>
      <c r="F177" s="40"/>
      <c r="G177" s="40"/>
      <c r="H177" s="40"/>
      <c r="I177" s="40"/>
      <c r="J177" s="40"/>
      <c r="K177" s="40" t="s">
        <v>151</v>
      </c>
      <c r="L177" s="40"/>
      <c r="M177" s="40"/>
      <c r="N177" s="40"/>
    </row>
    <row r="178" spans="1:14" ht="15" customHeight="1">
      <c r="A178" s="50" t="s">
        <v>361</v>
      </c>
      <c r="B178" s="43" t="str">
        <f>IFERROR(INDEX(Dim_Proyectos!$A:$A,MATCH(A178,Dim_Proyectos!$B:$B,0)),"")</f>
        <v>P007</v>
      </c>
      <c r="C178" s="44" t="s">
        <v>133</v>
      </c>
      <c r="D178" s="44" t="s">
        <v>192</v>
      </c>
      <c r="E178" s="45" t="s">
        <v>490</v>
      </c>
      <c r="F178" s="44"/>
      <c r="G178" s="44"/>
      <c r="H178" s="44"/>
      <c r="I178" s="44"/>
      <c r="J178" s="44"/>
      <c r="K178" s="44" t="s">
        <v>151</v>
      </c>
      <c r="L178" s="44"/>
      <c r="M178" s="44"/>
      <c r="N178" s="44"/>
    </row>
    <row r="179" spans="1:14" ht="15" customHeight="1">
      <c r="A179" s="50" t="s">
        <v>361</v>
      </c>
      <c r="B179" s="39" t="str">
        <f>IFERROR(INDEX(Dim_Proyectos!$A:$A,MATCH(A179,Dim_Proyectos!$B:$B,0)),"")</f>
        <v>P007</v>
      </c>
      <c r="C179" s="40" t="s">
        <v>133</v>
      </c>
      <c r="D179" s="40" t="s">
        <v>192</v>
      </c>
      <c r="E179" s="41" t="s">
        <v>491</v>
      </c>
      <c r="F179" s="40"/>
      <c r="G179" s="40"/>
      <c r="H179" s="40"/>
      <c r="I179" s="40"/>
      <c r="J179" s="40"/>
      <c r="K179" s="40" t="s">
        <v>151</v>
      </c>
      <c r="L179" s="40"/>
      <c r="M179" s="40"/>
      <c r="N179" s="40"/>
    </row>
    <row r="180" spans="1:14" ht="15" customHeight="1">
      <c r="A180" s="50" t="s">
        <v>361</v>
      </c>
      <c r="B180" s="43" t="str">
        <f>IFERROR(INDEX(Dim_Proyectos!$A:$A,MATCH(A180,Dim_Proyectos!$B:$B,0)),"")</f>
        <v>P007</v>
      </c>
      <c r="C180" s="44" t="s">
        <v>133</v>
      </c>
      <c r="D180" s="44" t="s">
        <v>192</v>
      </c>
      <c r="E180" s="45" t="s">
        <v>492</v>
      </c>
      <c r="F180" s="44"/>
      <c r="G180" s="44"/>
      <c r="H180" s="44"/>
      <c r="I180" s="44"/>
      <c r="J180" s="44"/>
      <c r="K180" s="44" t="s">
        <v>151</v>
      </c>
      <c r="L180" s="44"/>
      <c r="M180" s="44"/>
      <c r="N180" s="44"/>
    </row>
    <row r="181" spans="1:14" ht="15" customHeight="1">
      <c r="A181" s="50" t="s">
        <v>361</v>
      </c>
      <c r="B181" s="39" t="str">
        <f>IFERROR(INDEX(Dim_Proyectos!$A:$A,MATCH(A181,Dim_Proyectos!$B:$B,0)),"")</f>
        <v>P007</v>
      </c>
      <c r="C181" s="40" t="s">
        <v>133</v>
      </c>
      <c r="D181" s="40" t="s">
        <v>192</v>
      </c>
      <c r="E181" s="41" t="s">
        <v>493</v>
      </c>
      <c r="F181" s="40"/>
      <c r="G181" s="40"/>
      <c r="H181" s="40"/>
      <c r="I181" s="40"/>
      <c r="J181" s="40"/>
      <c r="K181" s="40" t="s">
        <v>230</v>
      </c>
      <c r="L181" s="40"/>
      <c r="M181" s="40"/>
      <c r="N181" s="40"/>
    </row>
    <row r="182" spans="1:14" ht="15" customHeight="1">
      <c r="A182" s="50" t="s">
        <v>361</v>
      </c>
      <c r="B182" s="43" t="str">
        <f>IFERROR(INDEX(Dim_Proyectos!$A:$A,MATCH(A182,Dim_Proyectos!$B:$B,0)),"")</f>
        <v>P007</v>
      </c>
      <c r="C182" s="44" t="s">
        <v>133</v>
      </c>
      <c r="D182" s="44" t="s">
        <v>192</v>
      </c>
      <c r="E182" s="45" t="s">
        <v>494</v>
      </c>
      <c r="F182" s="44"/>
      <c r="G182" s="44"/>
      <c r="H182" s="44"/>
      <c r="I182" s="44"/>
      <c r="J182" s="44"/>
      <c r="K182" s="44" t="s">
        <v>230</v>
      </c>
      <c r="L182" s="44"/>
      <c r="M182" s="44"/>
      <c r="N182" s="44"/>
    </row>
    <row r="183" spans="1:14" ht="15" customHeight="1">
      <c r="A183" s="50" t="s">
        <v>361</v>
      </c>
      <c r="B183" s="39" t="str">
        <f>IFERROR(INDEX(Dim_Proyectos!$A:$A,MATCH(A183,Dim_Proyectos!$B:$B,0)),"")</f>
        <v>P007</v>
      </c>
      <c r="C183" s="40" t="s">
        <v>133</v>
      </c>
      <c r="D183" s="40" t="s">
        <v>192</v>
      </c>
      <c r="E183" s="41" t="s">
        <v>495</v>
      </c>
      <c r="F183" s="40"/>
      <c r="G183" s="40"/>
      <c r="H183" s="40"/>
      <c r="I183" s="40"/>
      <c r="J183" s="40"/>
      <c r="K183" s="40" t="s">
        <v>230</v>
      </c>
      <c r="L183" s="40"/>
      <c r="M183" s="40"/>
      <c r="N183" s="40"/>
    </row>
    <row r="184" spans="1:14" ht="15" customHeight="1">
      <c r="A184" s="50" t="s">
        <v>361</v>
      </c>
      <c r="B184" s="43" t="str">
        <f>IFERROR(INDEX(Dim_Proyectos!$A:$A,MATCH(A184,Dim_Proyectos!$B:$B,0)),"")</f>
        <v>P007</v>
      </c>
      <c r="C184" s="44" t="s">
        <v>133</v>
      </c>
      <c r="D184" s="44" t="s">
        <v>192</v>
      </c>
      <c r="E184" s="45" t="s">
        <v>496</v>
      </c>
      <c r="F184" s="44"/>
      <c r="G184" s="44"/>
      <c r="H184" s="44"/>
      <c r="I184" s="44"/>
      <c r="J184" s="44"/>
      <c r="K184" s="44" t="s">
        <v>230</v>
      </c>
      <c r="L184" s="44"/>
      <c r="M184" s="44"/>
      <c r="N184" s="44"/>
    </row>
    <row r="185" spans="1:14" ht="15" customHeight="1">
      <c r="A185" s="50" t="s">
        <v>361</v>
      </c>
      <c r="B185" s="39" t="str">
        <f>IFERROR(INDEX(Dim_Proyectos!$A:$A,MATCH(A185,Dim_Proyectos!$B:$B,0)),"")</f>
        <v>P007</v>
      </c>
      <c r="C185" s="40" t="s">
        <v>133</v>
      </c>
      <c r="D185" s="40" t="s">
        <v>192</v>
      </c>
      <c r="E185" s="41" t="s">
        <v>497</v>
      </c>
      <c r="F185" s="40"/>
      <c r="G185" s="40"/>
      <c r="H185" s="40"/>
      <c r="I185" s="40"/>
      <c r="J185" s="40"/>
      <c r="K185" s="40" t="s">
        <v>230</v>
      </c>
      <c r="L185" s="40"/>
      <c r="M185" s="40"/>
      <c r="N185" s="40"/>
    </row>
    <row r="186" spans="1:14" ht="20.25" customHeight="1">
      <c r="A186" s="50" t="s">
        <v>361</v>
      </c>
      <c r="B186" s="43" t="str">
        <f>IFERROR(INDEX(Dim_Proyectos!$A:$A,MATCH(A186,Dim_Proyectos!$B:$B,0)),"")</f>
        <v>P007</v>
      </c>
      <c r="C186" s="44" t="s">
        <v>133</v>
      </c>
      <c r="D186" s="44" t="s">
        <v>192</v>
      </c>
      <c r="E186" s="45" t="s">
        <v>418</v>
      </c>
      <c r="F186" s="44"/>
      <c r="G186" s="44"/>
      <c r="H186" s="44"/>
      <c r="I186" s="44"/>
      <c r="J186" s="44"/>
      <c r="K186" s="44" t="s">
        <v>230</v>
      </c>
      <c r="L186" s="44"/>
      <c r="M186" s="44"/>
      <c r="N186" s="44"/>
    </row>
    <row r="187" spans="1:14" ht="20.25" customHeight="1">
      <c r="A187" s="50" t="s">
        <v>361</v>
      </c>
      <c r="B187" s="39" t="str">
        <f>IFERROR(INDEX(Dim_Proyectos!$A:$A,MATCH(A187,Dim_Proyectos!$B:$B,0)),"")</f>
        <v>P007</v>
      </c>
      <c r="C187" s="40" t="s">
        <v>133</v>
      </c>
      <c r="D187" s="40" t="s">
        <v>192</v>
      </c>
      <c r="E187" s="41" t="s">
        <v>498</v>
      </c>
      <c r="F187" s="40"/>
      <c r="G187" s="40"/>
      <c r="H187" s="40"/>
      <c r="I187" s="40"/>
      <c r="J187" s="40"/>
      <c r="K187" s="40" t="s">
        <v>230</v>
      </c>
      <c r="L187" s="40"/>
      <c r="M187" s="40"/>
      <c r="N187" s="40"/>
    </row>
    <row r="188" spans="1:14" ht="15" customHeight="1">
      <c r="A188" s="50" t="s">
        <v>361</v>
      </c>
      <c r="B188" s="43" t="str">
        <f>IFERROR(INDEX(Dim_Proyectos!$A:$A,MATCH(A188,Dim_Proyectos!$B:$B,0)),"")</f>
        <v>P007</v>
      </c>
      <c r="C188" s="44" t="s">
        <v>133</v>
      </c>
      <c r="D188" s="44" t="s">
        <v>192</v>
      </c>
      <c r="E188" s="45" t="s">
        <v>499</v>
      </c>
      <c r="F188" s="44"/>
      <c r="G188" s="44"/>
      <c r="H188" s="44"/>
      <c r="I188" s="44"/>
      <c r="J188" s="44"/>
      <c r="K188" s="44" t="s">
        <v>230</v>
      </c>
      <c r="L188" s="44"/>
      <c r="M188" s="44"/>
      <c r="N188" s="44"/>
    </row>
    <row r="189" spans="1:14" ht="15" customHeight="1">
      <c r="A189" s="50" t="s">
        <v>361</v>
      </c>
      <c r="B189" s="39" t="str">
        <f>IFERROR(INDEX(Dim_Proyectos!$A:$A,MATCH(A189,Dim_Proyectos!$B:$B,0)),"")</f>
        <v>P007</v>
      </c>
      <c r="C189" s="40" t="s">
        <v>133</v>
      </c>
      <c r="D189" s="40" t="s">
        <v>192</v>
      </c>
      <c r="E189" s="41" t="s">
        <v>500</v>
      </c>
      <c r="F189" s="40"/>
      <c r="G189" s="40"/>
      <c r="H189" s="40"/>
      <c r="I189" s="40"/>
      <c r="J189" s="40"/>
      <c r="K189" s="40" t="s">
        <v>230</v>
      </c>
      <c r="L189" s="40"/>
      <c r="M189" s="40"/>
      <c r="N189" s="40"/>
    </row>
    <row r="190" spans="1:14" ht="15" customHeight="1">
      <c r="A190" s="50" t="s">
        <v>361</v>
      </c>
      <c r="B190" s="43" t="str">
        <f>IFERROR(INDEX(Dim_Proyectos!$A:$A,MATCH(A190,Dim_Proyectos!$B:$B,0)),"")</f>
        <v>P007</v>
      </c>
      <c r="C190" s="44" t="s">
        <v>133</v>
      </c>
      <c r="D190" s="44" t="s">
        <v>192</v>
      </c>
      <c r="E190" s="45" t="s">
        <v>501</v>
      </c>
      <c r="F190" s="44"/>
      <c r="G190" s="44"/>
      <c r="H190" s="44"/>
      <c r="I190" s="44"/>
      <c r="J190" s="44"/>
      <c r="K190" s="44" t="s">
        <v>230</v>
      </c>
      <c r="L190" s="44"/>
      <c r="M190" s="44"/>
      <c r="N190" s="44"/>
    </row>
    <row r="191" spans="1:14" ht="15" customHeight="1">
      <c r="A191" s="50" t="s">
        <v>361</v>
      </c>
      <c r="B191" s="39" t="str">
        <f>IFERROR(INDEX(Dim_Proyectos!$A:$A,MATCH(A191,Dim_Proyectos!$B:$B,0)),"")</f>
        <v>P007</v>
      </c>
      <c r="C191" s="40" t="s">
        <v>133</v>
      </c>
      <c r="D191" s="40" t="s">
        <v>192</v>
      </c>
      <c r="E191" s="41" t="s">
        <v>502</v>
      </c>
      <c r="F191" s="40"/>
      <c r="G191" s="40"/>
      <c r="H191" s="40"/>
      <c r="I191" s="40"/>
      <c r="J191" s="40"/>
      <c r="K191" s="40" t="s">
        <v>230</v>
      </c>
      <c r="L191" s="40"/>
      <c r="M191" s="40"/>
      <c r="N191" s="40"/>
    </row>
    <row r="192" spans="1:14" ht="15" customHeight="1">
      <c r="A192" s="50" t="s">
        <v>361</v>
      </c>
      <c r="B192" s="43" t="str">
        <f>IFERROR(INDEX(Dim_Proyectos!$A:$A,MATCH(A192,Dim_Proyectos!$B:$B,0)),"")</f>
        <v>P007</v>
      </c>
      <c r="C192" s="44" t="s">
        <v>133</v>
      </c>
      <c r="D192" s="44" t="s">
        <v>192</v>
      </c>
      <c r="E192" s="45" t="s">
        <v>488</v>
      </c>
      <c r="F192" s="44"/>
      <c r="G192" s="44"/>
      <c r="H192" s="44"/>
      <c r="I192" s="44"/>
      <c r="J192" s="44"/>
      <c r="K192" s="44" t="s">
        <v>230</v>
      </c>
      <c r="L192" s="44"/>
      <c r="M192" s="44"/>
      <c r="N192" s="44"/>
    </row>
    <row r="193" spans="1:14" ht="15" customHeight="1">
      <c r="A193" s="50" t="s">
        <v>361</v>
      </c>
      <c r="B193" s="39" t="str">
        <f>IFERROR(INDEX(Dim_Proyectos!$A:$A,MATCH(A193,Dim_Proyectos!$B:$B,0)),"")</f>
        <v>P007</v>
      </c>
      <c r="C193" s="40" t="s">
        <v>133</v>
      </c>
      <c r="D193" s="40" t="s">
        <v>192</v>
      </c>
      <c r="E193" s="41" t="s">
        <v>489</v>
      </c>
      <c r="F193" s="40"/>
      <c r="G193" s="40"/>
      <c r="H193" s="40"/>
      <c r="I193" s="40"/>
      <c r="J193" s="40"/>
      <c r="K193" s="40" t="s">
        <v>230</v>
      </c>
      <c r="L193" s="40"/>
      <c r="M193" s="40"/>
      <c r="N193" s="40"/>
    </row>
    <row r="194" spans="1:14" ht="15" customHeight="1">
      <c r="A194" s="50" t="s">
        <v>361</v>
      </c>
      <c r="B194" s="43" t="str">
        <f>IFERROR(INDEX(Dim_Proyectos!$A:$A,MATCH(A194,Dim_Proyectos!$B:$B,0)),"")</f>
        <v>P007</v>
      </c>
      <c r="C194" s="44" t="s">
        <v>133</v>
      </c>
      <c r="D194" s="44" t="s">
        <v>192</v>
      </c>
      <c r="E194" s="45" t="s">
        <v>488</v>
      </c>
      <c r="F194" s="44"/>
      <c r="G194" s="44"/>
      <c r="H194" s="44"/>
      <c r="I194" s="44"/>
      <c r="J194" s="44"/>
      <c r="K194" s="44" t="s">
        <v>151</v>
      </c>
      <c r="L194" s="44"/>
      <c r="M194" s="44"/>
      <c r="N194" s="44"/>
    </row>
    <row r="195" spans="1:14" ht="15" customHeight="1">
      <c r="A195" s="50" t="s">
        <v>361</v>
      </c>
      <c r="B195" s="39" t="str">
        <f>IFERROR(INDEX(Dim_Proyectos!$A:$A,MATCH(A195,Dim_Proyectos!$B:$B,0)),"")</f>
        <v>P007</v>
      </c>
      <c r="C195" s="40" t="s">
        <v>133</v>
      </c>
      <c r="D195" s="40" t="s">
        <v>192</v>
      </c>
      <c r="E195" s="41" t="s">
        <v>489</v>
      </c>
      <c r="F195" s="40"/>
      <c r="G195" s="40"/>
      <c r="H195" s="40"/>
      <c r="I195" s="40"/>
      <c r="J195" s="40"/>
      <c r="K195" s="40" t="s">
        <v>151</v>
      </c>
      <c r="L195" s="40"/>
      <c r="M195" s="40"/>
      <c r="N195" s="40"/>
    </row>
    <row r="196" spans="1:14" ht="15" customHeight="1">
      <c r="A196" s="50" t="s">
        <v>361</v>
      </c>
      <c r="B196" s="43" t="str">
        <f>IFERROR(INDEX(Dim_Proyectos!$A:$A,MATCH(A196,Dim_Proyectos!$B:$B,0)),"")</f>
        <v>P007</v>
      </c>
      <c r="C196" s="44" t="s">
        <v>133</v>
      </c>
      <c r="D196" s="44" t="s">
        <v>192</v>
      </c>
      <c r="E196" s="45" t="s">
        <v>488</v>
      </c>
      <c r="F196" s="44"/>
      <c r="G196" s="44"/>
      <c r="H196" s="44"/>
      <c r="I196" s="44"/>
      <c r="J196" s="44"/>
      <c r="K196" s="44" t="s">
        <v>151</v>
      </c>
      <c r="L196" s="44"/>
      <c r="M196" s="44"/>
      <c r="N196" s="44"/>
    </row>
    <row r="197" spans="1:14" ht="15" customHeight="1">
      <c r="A197" s="50" t="s">
        <v>361</v>
      </c>
      <c r="B197" s="39" t="str">
        <f>IFERROR(INDEX(Dim_Proyectos!$A:$A,MATCH(A197,Dim_Proyectos!$B:$B,0)),"")</f>
        <v>P007</v>
      </c>
      <c r="C197" s="40" t="s">
        <v>133</v>
      </c>
      <c r="D197" s="40" t="s">
        <v>192</v>
      </c>
      <c r="E197" s="41" t="s">
        <v>489</v>
      </c>
      <c r="F197" s="40"/>
      <c r="G197" s="40"/>
      <c r="H197" s="40"/>
      <c r="I197" s="40"/>
      <c r="J197" s="40"/>
      <c r="K197" s="40" t="s">
        <v>151</v>
      </c>
      <c r="L197" s="40"/>
      <c r="M197" s="40"/>
      <c r="N197" s="40"/>
    </row>
    <row r="198" spans="1:14" ht="20.25" customHeight="1">
      <c r="A198" s="50" t="s">
        <v>361</v>
      </c>
      <c r="B198" s="43" t="str">
        <f>IFERROR(INDEX(Dim_Proyectos!$A:$A,MATCH(A198,Dim_Proyectos!$B:$B,0)),"")</f>
        <v>P007</v>
      </c>
      <c r="C198" s="44" t="s">
        <v>133</v>
      </c>
      <c r="D198" s="44" t="s">
        <v>192</v>
      </c>
      <c r="E198" s="45" t="s">
        <v>503</v>
      </c>
      <c r="F198" s="44"/>
      <c r="G198" s="44"/>
      <c r="H198" s="44"/>
      <c r="I198" s="44"/>
      <c r="J198" s="44"/>
      <c r="K198" s="44" t="s">
        <v>230</v>
      </c>
      <c r="L198" s="44"/>
      <c r="M198" s="44"/>
      <c r="N198" s="44"/>
    </row>
    <row r="199" spans="1:14" ht="20.25" customHeight="1">
      <c r="A199" s="50" t="s">
        <v>361</v>
      </c>
      <c r="B199" s="39" t="str">
        <f>IFERROR(INDEX(Dim_Proyectos!$A:$A,MATCH(A199,Dim_Proyectos!$B:$B,0)),"")</f>
        <v>P007</v>
      </c>
      <c r="C199" s="40" t="s">
        <v>133</v>
      </c>
      <c r="D199" s="40" t="s">
        <v>192</v>
      </c>
      <c r="E199" s="41" t="s">
        <v>504</v>
      </c>
      <c r="F199" s="40"/>
      <c r="G199" s="40"/>
      <c r="H199" s="40"/>
      <c r="I199" s="40"/>
      <c r="J199" s="40"/>
      <c r="K199" s="40" t="s">
        <v>151</v>
      </c>
      <c r="L199" s="40"/>
      <c r="M199" s="40"/>
      <c r="N199" s="40"/>
    </row>
    <row r="200" spans="1:14" ht="15" customHeight="1">
      <c r="A200" s="50" t="s">
        <v>345</v>
      </c>
      <c r="B200" s="43" t="str">
        <f>IFERROR(INDEX(Dim_Proyectos!$A:$A,MATCH(A200,Dim_Proyectos!$B:$B,0)),"")</f>
        <v>P010</v>
      </c>
      <c r="C200" s="44" t="s">
        <v>133</v>
      </c>
      <c r="D200" s="44" t="s">
        <v>140</v>
      </c>
      <c r="E200" s="45" t="s">
        <v>505</v>
      </c>
      <c r="F200" s="44"/>
      <c r="G200" s="44"/>
      <c r="H200" s="44"/>
      <c r="I200" s="44"/>
      <c r="J200" s="44"/>
      <c r="K200" s="44" t="s">
        <v>136</v>
      </c>
      <c r="L200" s="44"/>
      <c r="M200" s="44"/>
      <c r="N200" s="44"/>
    </row>
    <row r="201" spans="1:14" ht="15" customHeight="1">
      <c r="A201" s="50" t="s">
        <v>345</v>
      </c>
      <c r="B201" s="39" t="str">
        <f>IFERROR(INDEX(Dim_Proyectos!$A:$A,MATCH(A201,Dim_Proyectos!$B:$B,0)),"")</f>
        <v>P010</v>
      </c>
      <c r="C201" s="40" t="s">
        <v>133</v>
      </c>
      <c r="D201" s="40" t="s">
        <v>140</v>
      </c>
      <c r="E201" s="41" t="s">
        <v>506</v>
      </c>
      <c r="F201" s="40"/>
      <c r="G201" s="40"/>
      <c r="H201" s="40"/>
      <c r="I201" s="40"/>
      <c r="J201" s="40"/>
      <c r="K201" s="40" t="s">
        <v>136</v>
      </c>
      <c r="L201" s="40"/>
      <c r="M201" s="40"/>
      <c r="N201" s="40"/>
    </row>
    <row r="202" spans="1:14" ht="15" customHeight="1">
      <c r="A202" s="50" t="s">
        <v>345</v>
      </c>
      <c r="B202" s="43" t="str">
        <f>IFERROR(INDEX(Dim_Proyectos!$A:$A,MATCH(A202,Dim_Proyectos!$B:$B,0)),"")</f>
        <v>P010</v>
      </c>
      <c r="C202" s="44" t="s">
        <v>133</v>
      </c>
      <c r="D202" s="44" t="s">
        <v>200</v>
      </c>
      <c r="E202" s="45" t="s">
        <v>507</v>
      </c>
      <c r="F202" s="44"/>
      <c r="G202" s="44"/>
      <c r="H202" s="44"/>
      <c r="I202" s="44"/>
      <c r="J202" s="44"/>
      <c r="K202" s="44" t="s">
        <v>136</v>
      </c>
      <c r="L202" s="44"/>
      <c r="M202" s="44"/>
      <c r="N202" s="44"/>
    </row>
    <row r="203" spans="1:14" ht="15" customHeight="1">
      <c r="A203" s="50" t="s">
        <v>345</v>
      </c>
      <c r="B203" s="39" t="str">
        <f>IFERROR(INDEX(Dim_Proyectos!$A:$A,MATCH(A203,Dim_Proyectos!$B:$B,0)),"")</f>
        <v>P010</v>
      </c>
      <c r="C203" s="40" t="s">
        <v>133</v>
      </c>
      <c r="D203" s="40" t="s">
        <v>200</v>
      </c>
      <c r="E203" s="41" t="s">
        <v>508</v>
      </c>
      <c r="F203" s="40"/>
      <c r="G203" s="40"/>
      <c r="H203" s="40"/>
      <c r="I203" s="40"/>
      <c r="J203" s="40"/>
      <c r="K203" s="40" t="s">
        <v>136</v>
      </c>
      <c r="L203" s="40"/>
      <c r="M203" s="40"/>
      <c r="N203" s="40"/>
    </row>
    <row r="204" spans="1:14" ht="15" customHeight="1">
      <c r="A204" s="50" t="s">
        <v>345</v>
      </c>
      <c r="B204" s="43" t="str">
        <f>IFERROR(INDEX(Dim_Proyectos!$A:$A,MATCH(A204,Dim_Proyectos!$B:$B,0)),"")</f>
        <v>P010</v>
      </c>
      <c r="C204" s="44" t="s">
        <v>133</v>
      </c>
      <c r="D204" s="44" t="s">
        <v>200</v>
      </c>
      <c r="E204" s="45" t="s">
        <v>509</v>
      </c>
      <c r="F204" s="44"/>
      <c r="G204" s="44"/>
      <c r="H204" s="44"/>
      <c r="I204" s="44"/>
      <c r="J204" s="44"/>
      <c r="K204" s="44" t="s">
        <v>136</v>
      </c>
      <c r="L204" s="44"/>
      <c r="M204" s="44"/>
      <c r="N204" s="44"/>
    </row>
    <row r="205" spans="1:14" ht="15" customHeight="1">
      <c r="A205" s="50" t="s">
        <v>345</v>
      </c>
      <c r="B205" s="39" t="str">
        <f>IFERROR(INDEX(Dim_Proyectos!$A:$A,MATCH(A205,Dim_Proyectos!$B:$B,0)),"")</f>
        <v>P010</v>
      </c>
      <c r="C205" s="40" t="s">
        <v>133</v>
      </c>
      <c r="D205" s="40" t="s">
        <v>200</v>
      </c>
      <c r="E205" s="41" t="s">
        <v>510</v>
      </c>
      <c r="F205" s="40"/>
      <c r="G205" s="40"/>
      <c r="H205" s="40"/>
      <c r="I205" s="40"/>
      <c r="J205" s="40"/>
      <c r="K205" s="40" t="s">
        <v>136</v>
      </c>
      <c r="L205" s="40"/>
      <c r="M205" s="40"/>
      <c r="N205" s="40"/>
    </row>
    <row r="206" spans="1:14" ht="15" customHeight="1">
      <c r="A206" s="50" t="s">
        <v>345</v>
      </c>
      <c r="B206" s="43" t="str">
        <f>IFERROR(INDEX(Dim_Proyectos!$A:$A,MATCH(A206,Dim_Proyectos!$B:$B,0)),"")</f>
        <v>P010</v>
      </c>
      <c r="C206" s="44" t="s">
        <v>133</v>
      </c>
      <c r="D206" s="44" t="s">
        <v>200</v>
      </c>
      <c r="E206" s="45" t="s">
        <v>511</v>
      </c>
      <c r="F206" s="44"/>
      <c r="G206" s="44"/>
      <c r="H206" s="44"/>
      <c r="I206" s="44"/>
      <c r="J206" s="44"/>
      <c r="K206" s="44" t="s">
        <v>136</v>
      </c>
      <c r="L206" s="44"/>
      <c r="M206" s="44"/>
      <c r="N206" s="44"/>
    </row>
    <row r="207" spans="1:14" ht="15" customHeight="1">
      <c r="A207" s="50" t="s">
        <v>345</v>
      </c>
      <c r="B207" s="39" t="str">
        <f>IFERROR(INDEX(Dim_Proyectos!$A:$A,MATCH(A207,Dim_Proyectos!$B:$B,0)),"")</f>
        <v>P010</v>
      </c>
      <c r="C207" s="40" t="s">
        <v>133</v>
      </c>
      <c r="D207" s="40" t="s">
        <v>145</v>
      </c>
      <c r="E207" s="41" t="s">
        <v>512</v>
      </c>
      <c r="F207" s="40"/>
      <c r="G207" s="40"/>
      <c r="H207" s="40"/>
      <c r="I207" s="40"/>
      <c r="J207" s="40"/>
      <c r="K207" s="40" t="s">
        <v>136</v>
      </c>
      <c r="L207" s="40"/>
      <c r="M207" s="40"/>
      <c r="N207" s="40"/>
    </row>
    <row r="208" spans="1:14" ht="15" customHeight="1">
      <c r="A208" s="50" t="s">
        <v>345</v>
      </c>
      <c r="B208" s="43" t="str">
        <f>IFERROR(INDEX(Dim_Proyectos!$A:$A,MATCH(A208,Dim_Proyectos!$B:$B,0)),"")</f>
        <v>P010</v>
      </c>
      <c r="C208" s="44" t="s">
        <v>133</v>
      </c>
      <c r="D208" s="44" t="s">
        <v>145</v>
      </c>
      <c r="E208" s="45" t="s">
        <v>513</v>
      </c>
      <c r="F208" s="44"/>
      <c r="G208" s="44"/>
      <c r="H208" s="44"/>
      <c r="I208" s="44"/>
      <c r="J208" s="44"/>
      <c r="K208" s="44" t="s">
        <v>136</v>
      </c>
      <c r="L208" s="44"/>
      <c r="M208" s="44"/>
      <c r="N208" s="44"/>
    </row>
    <row r="209" spans="1:14" ht="15" customHeight="1">
      <c r="A209" s="50" t="s">
        <v>345</v>
      </c>
      <c r="B209" s="39" t="str">
        <f>IFERROR(INDEX(Dim_Proyectos!$A:$A,MATCH(A209,Dim_Proyectos!$B:$B,0)),"")</f>
        <v>P010</v>
      </c>
      <c r="C209" s="40" t="s">
        <v>133</v>
      </c>
      <c r="D209" s="40" t="s">
        <v>204</v>
      </c>
      <c r="E209" s="41" t="s">
        <v>514</v>
      </c>
      <c r="F209" s="40"/>
      <c r="G209" s="40"/>
      <c r="H209" s="40"/>
      <c r="I209" s="40"/>
      <c r="J209" s="40"/>
      <c r="K209" s="40" t="s">
        <v>136</v>
      </c>
      <c r="L209" s="40"/>
      <c r="M209" s="40"/>
      <c r="N209" s="40"/>
    </row>
    <row r="210" spans="1:14" ht="15" customHeight="1">
      <c r="A210" s="50" t="s">
        <v>345</v>
      </c>
      <c r="B210" s="43" t="str">
        <f>IFERROR(INDEX(Dim_Proyectos!$A:$A,MATCH(A210,Dim_Proyectos!$B:$B,0)),"")</f>
        <v>P010</v>
      </c>
      <c r="C210" s="44" t="s">
        <v>133</v>
      </c>
      <c r="D210" s="44" t="s">
        <v>138</v>
      </c>
      <c r="E210" s="45" t="s">
        <v>515</v>
      </c>
      <c r="F210" s="44"/>
      <c r="G210" s="44"/>
      <c r="H210" s="44"/>
      <c r="I210" s="44"/>
      <c r="J210" s="44"/>
      <c r="K210" s="44" t="s">
        <v>151</v>
      </c>
      <c r="L210" s="44"/>
      <c r="M210" s="44"/>
      <c r="N210" s="44"/>
    </row>
    <row r="211" spans="1:14" ht="15" customHeight="1">
      <c r="A211" s="50" t="s">
        <v>345</v>
      </c>
      <c r="B211" s="39" t="str">
        <f>IFERROR(INDEX(Dim_Proyectos!$A:$A,MATCH(A211,Dim_Proyectos!$B:$B,0)),"")</f>
        <v>P010</v>
      </c>
      <c r="C211" s="40" t="s">
        <v>133</v>
      </c>
      <c r="D211" s="40" t="s">
        <v>202</v>
      </c>
      <c r="E211" s="41" t="s">
        <v>516</v>
      </c>
      <c r="F211" s="40"/>
      <c r="G211" s="40"/>
      <c r="H211" s="40"/>
      <c r="I211" s="40"/>
      <c r="J211" s="40"/>
      <c r="K211" s="40" t="s">
        <v>136</v>
      </c>
      <c r="L211" s="40"/>
      <c r="M211" s="40"/>
      <c r="N211" s="40"/>
    </row>
    <row r="212" spans="1:14" ht="20.25" customHeight="1">
      <c r="A212" s="50" t="s">
        <v>345</v>
      </c>
      <c r="B212" s="43" t="str">
        <f>IFERROR(INDEX(Dim_Proyectos!$A:$A,MATCH(A212,Dim_Proyectos!$B:$B,0)),"")</f>
        <v>P010</v>
      </c>
      <c r="C212" s="44" t="s">
        <v>133</v>
      </c>
      <c r="D212" s="44" t="s">
        <v>202</v>
      </c>
      <c r="E212" s="45" t="s">
        <v>517</v>
      </c>
      <c r="F212" s="44"/>
      <c r="G212" s="44"/>
      <c r="H212" s="44"/>
      <c r="I212" s="44"/>
      <c r="J212" s="44"/>
      <c r="K212" s="44" t="s">
        <v>136</v>
      </c>
      <c r="L212" s="44"/>
      <c r="M212" s="44"/>
      <c r="N212" s="44"/>
    </row>
    <row r="213" spans="1:14" ht="20.25" customHeight="1">
      <c r="A213" s="50" t="s">
        <v>345</v>
      </c>
      <c r="B213" s="39" t="str">
        <f>IFERROR(INDEX(Dim_Proyectos!$A:$A,MATCH(A213,Dim_Proyectos!$B:$B,0)),"")</f>
        <v>P010</v>
      </c>
      <c r="C213" s="40" t="s">
        <v>133</v>
      </c>
      <c r="D213" s="40" t="s">
        <v>202</v>
      </c>
      <c r="E213" s="41" t="s">
        <v>518</v>
      </c>
      <c r="F213" s="40"/>
      <c r="G213" s="40"/>
      <c r="H213" s="40"/>
      <c r="I213" s="40"/>
      <c r="J213" s="40"/>
      <c r="K213" s="40" t="s">
        <v>136</v>
      </c>
      <c r="L213" s="40"/>
      <c r="M213" s="40"/>
      <c r="N213" s="40"/>
    </row>
    <row r="214" spans="1:14" ht="20.25" customHeight="1">
      <c r="A214" s="50" t="s">
        <v>345</v>
      </c>
      <c r="B214" s="43" t="str">
        <f>IFERROR(INDEX(Dim_Proyectos!$A:$A,MATCH(A214,Dim_Proyectos!$B:$B,0)),"")</f>
        <v>P010</v>
      </c>
      <c r="C214" s="44" t="s">
        <v>133</v>
      </c>
      <c r="D214" s="44" t="s">
        <v>202</v>
      </c>
      <c r="E214" s="45" t="s">
        <v>519</v>
      </c>
      <c r="F214" s="44"/>
      <c r="G214" s="44"/>
      <c r="H214" s="44"/>
      <c r="I214" s="44"/>
      <c r="J214" s="44"/>
      <c r="K214" s="44" t="s">
        <v>136</v>
      </c>
      <c r="L214" s="44"/>
      <c r="M214" s="44"/>
      <c r="N214" s="44"/>
    </row>
    <row r="215" spans="1:14" ht="20.25" customHeight="1">
      <c r="A215" s="50" t="s">
        <v>345</v>
      </c>
      <c r="B215" s="39" t="str">
        <f>IFERROR(INDEX(Dim_Proyectos!$A:$A,MATCH(A215,Dim_Proyectos!$B:$B,0)),"")</f>
        <v>P010</v>
      </c>
      <c r="C215" s="40" t="s">
        <v>133</v>
      </c>
      <c r="D215" s="40" t="s">
        <v>202</v>
      </c>
      <c r="E215" s="41" t="s">
        <v>520</v>
      </c>
      <c r="F215" s="40"/>
      <c r="G215" s="40"/>
      <c r="H215" s="40"/>
      <c r="I215" s="40"/>
      <c r="J215" s="40"/>
      <c r="K215" s="40" t="s">
        <v>136</v>
      </c>
      <c r="L215" s="40"/>
      <c r="M215" s="40"/>
      <c r="N215" s="40"/>
    </row>
    <row r="216" spans="1:14" ht="15" customHeight="1">
      <c r="A216" s="50" t="s">
        <v>345</v>
      </c>
      <c r="B216" s="43" t="str">
        <f>IFERROR(INDEX(Dim_Proyectos!$A:$A,MATCH(A216,Dim_Proyectos!$B:$B,0)),"")</f>
        <v>P010</v>
      </c>
      <c r="C216" s="44" t="s">
        <v>133</v>
      </c>
      <c r="D216" s="44" t="s">
        <v>202</v>
      </c>
      <c r="E216" s="45" t="s">
        <v>521</v>
      </c>
      <c r="F216" s="44"/>
      <c r="G216" s="44"/>
      <c r="H216" s="44"/>
      <c r="I216" s="44"/>
      <c r="J216" s="44"/>
      <c r="K216" s="44" t="s">
        <v>136</v>
      </c>
      <c r="L216" s="44"/>
      <c r="M216" s="44"/>
      <c r="N216" s="44"/>
    </row>
    <row r="217" spans="1:14" ht="20.25" customHeight="1">
      <c r="A217" s="50" t="s">
        <v>345</v>
      </c>
      <c r="B217" s="39" t="str">
        <f>IFERROR(INDEX(Dim_Proyectos!$A:$A,MATCH(A217,Dim_Proyectos!$B:$B,0)),"")</f>
        <v>P010</v>
      </c>
      <c r="C217" s="40" t="s">
        <v>133</v>
      </c>
      <c r="D217" s="40" t="s">
        <v>202</v>
      </c>
      <c r="E217" s="41" t="s">
        <v>522</v>
      </c>
      <c r="F217" s="40"/>
      <c r="G217" s="40"/>
      <c r="H217" s="40"/>
      <c r="I217" s="40"/>
      <c r="J217" s="40"/>
      <c r="K217" s="40" t="s">
        <v>136</v>
      </c>
      <c r="L217" s="40"/>
      <c r="M217" s="40"/>
      <c r="N217" s="40"/>
    </row>
    <row r="218" spans="1:14" ht="20.25" customHeight="1">
      <c r="A218" s="50" t="s">
        <v>345</v>
      </c>
      <c r="B218" s="43" t="str">
        <f>IFERROR(INDEX(Dim_Proyectos!$A:$A,MATCH(A218,Dim_Proyectos!$B:$B,0)),"")</f>
        <v>P010</v>
      </c>
      <c r="C218" s="44" t="s">
        <v>133</v>
      </c>
      <c r="D218" s="44" t="s">
        <v>202</v>
      </c>
      <c r="E218" s="45" t="s">
        <v>523</v>
      </c>
      <c r="F218" s="44"/>
      <c r="G218" s="44"/>
      <c r="H218" s="44"/>
      <c r="I218" s="44"/>
      <c r="J218" s="44"/>
      <c r="K218" s="44" t="s">
        <v>136</v>
      </c>
      <c r="L218" s="44"/>
      <c r="M218" s="44"/>
      <c r="N218" s="44"/>
    </row>
    <row r="219" spans="1:14" ht="20.25" customHeight="1">
      <c r="A219" s="50" t="s">
        <v>345</v>
      </c>
      <c r="B219" s="39" t="str">
        <f>IFERROR(INDEX(Dim_Proyectos!$A:$A,MATCH(A219,Dim_Proyectos!$B:$B,0)),"")</f>
        <v>P010</v>
      </c>
      <c r="C219" s="40" t="s">
        <v>133</v>
      </c>
      <c r="D219" s="40" t="s">
        <v>202</v>
      </c>
      <c r="E219" s="41" t="s">
        <v>524</v>
      </c>
      <c r="F219" s="40"/>
      <c r="G219" s="40"/>
      <c r="H219" s="40"/>
      <c r="I219" s="40"/>
      <c r="J219" s="40"/>
      <c r="K219" s="40" t="s">
        <v>136</v>
      </c>
      <c r="L219" s="40"/>
      <c r="M219" s="40"/>
      <c r="N219" s="40"/>
    </row>
    <row r="220" spans="1:14" ht="15" customHeight="1">
      <c r="A220" s="50" t="s">
        <v>345</v>
      </c>
      <c r="B220" s="43" t="str">
        <f>IFERROR(INDEX(Dim_Proyectos!$A:$A,MATCH(A220,Dim_Proyectos!$B:$B,0)),"")</f>
        <v>P010</v>
      </c>
      <c r="C220" s="44" t="s">
        <v>133</v>
      </c>
      <c r="D220" s="44" t="s">
        <v>202</v>
      </c>
      <c r="E220" s="45" t="s">
        <v>525</v>
      </c>
      <c r="F220" s="44"/>
      <c r="G220" s="44"/>
      <c r="H220" s="44"/>
      <c r="I220" s="44"/>
      <c r="J220" s="44"/>
      <c r="K220" s="44" t="s">
        <v>136</v>
      </c>
      <c r="L220" s="44"/>
      <c r="M220" s="44"/>
      <c r="N220" s="44"/>
    </row>
    <row r="221" spans="1:14" ht="15" customHeight="1">
      <c r="A221" s="50" t="s">
        <v>345</v>
      </c>
      <c r="B221" s="39" t="str">
        <f>IFERROR(INDEX(Dim_Proyectos!$A:$A,MATCH(A221,Dim_Proyectos!$B:$B,0)),"")</f>
        <v>P010</v>
      </c>
      <c r="C221" s="40" t="s">
        <v>133</v>
      </c>
      <c r="D221" s="40" t="s">
        <v>152</v>
      </c>
      <c r="E221" s="41" t="s">
        <v>526</v>
      </c>
      <c r="F221" s="40"/>
      <c r="G221" s="40"/>
      <c r="H221" s="40"/>
      <c r="I221" s="40"/>
      <c r="J221" s="40"/>
      <c r="K221" s="40" t="s">
        <v>151</v>
      </c>
      <c r="L221" s="40"/>
      <c r="M221" s="40"/>
      <c r="N221" s="40"/>
    </row>
    <row r="222" spans="1:14" ht="15" customHeight="1">
      <c r="A222" s="50" t="s">
        <v>345</v>
      </c>
      <c r="B222" s="43" t="str">
        <f>IFERROR(INDEX(Dim_Proyectos!$A:$A,MATCH(A222,Dim_Proyectos!$B:$B,0)),"")</f>
        <v>P010</v>
      </c>
      <c r="C222" s="44" t="s">
        <v>133</v>
      </c>
      <c r="D222" s="44" t="s">
        <v>152</v>
      </c>
      <c r="E222" s="45" t="s">
        <v>466</v>
      </c>
      <c r="F222" s="44"/>
      <c r="G222" s="44"/>
      <c r="H222" s="44"/>
      <c r="I222" s="44"/>
      <c r="J222" s="44"/>
      <c r="K222" s="44" t="s">
        <v>151</v>
      </c>
      <c r="L222" s="44"/>
      <c r="M222" s="44"/>
      <c r="N222" s="44"/>
    </row>
    <row r="223" spans="1:14" ht="15" customHeight="1">
      <c r="A223" s="50" t="s">
        <v>345</v>
      </c>
      <c r="B223" s="39" t="str">
        <f>IFERROR(INDEX(Dim_Proyectos!$A:$A,MATCH(A223,Dim_Proyectos!$B:$B,0)),"")</f>
        <v>P010</v>
      </c>
      <c r="C223" s="40" t="s">
        <v>133</v>
      </c>
      <c r="D223" s="40" t="s">
        <v>152</v>
      </c>
      <c r="E223" s="41" t="s">
        <v>392</v>
      </c>
      <c r="F223" s="40"/>
      <c r="G223" s="40"/>
      <c r="H223" s="40"/>
      <c r="I223" s="40"/>
      <c r="J223" s="40"/>
      <c r="K223" s="40" t="s">
        <v>151</v>
      </c>
      <c r="L223" s="40"/>
      <c r="M223" s="40"/>
      <c r="N223" s="40"/>
    </row>
    <row r="224" spans="1:14" ht="15" customHeight="1">
      <c r="A224" s="50" t="s">
        <v>345</v>
      </c>
      <c r="B224" s="43" t="str">
        <f>IFERROR(INDEX(Dim_Proyectos!$A:$A,MATCH(A224,Dim_Proyectos!$B:$B,0)),"")</f>
        <v>P010</v>
      </c>
      <c r="C224" s="44" t="s">
        <v>133</v>
      </c>
      <c r="D224" s="44" t="s">
        <v>152</v>
      </c>
      <c r="E224" s="45" t="s">
        <v>527</v>
      </c>
      <c r="F224" s="44"/>
      <c r="G224" s="44"/>
      <c r="H224" s="44"/>
      <c r="I224" s="44"/>
      <c r="J224" s="44"/>
      <c r="K224" s="44" t="s">
        <v>151</v>
      </c>
      <c r="L224" s="44"/>
      <c r="M224" s="44"/>
      <c r="N224" s="44"/>
    </row>
    <row r="225" spans="1:14" ht="20.25" customHeight="1">
      <c r="A225" s="50" t="s">
        <v>345</v>
      </c>
      <c r="B225" s="39" t="str">
        <f>IFERROR(INDEX(Dim_Proyectos!$A:$A,MATCH(A225,Dim_Proyectos!$B:$B,0)),"")</f>
        <v>P010</v>
      </c>
      <c r="C225" s="40" t="s">
        <v>133</v>
      </c>
      <c r="D225" s="40" t="s">
        <v>152</v>
      </c>
      <c r="E225" s="41" t="s">
        <v>528</v>
      </c>
      <c r="F225" s="40"/>
      <c r="G225" s="40"/>
      <c r="H225" s="40"/>
      <c r="I225" s="40"/>
      <c r="J225" s="40"/>
      <c r="K225" s="40" t="s">
        <v>151</v>
      </c>
      <c r="L225" s="40"/>
      <c r="M225" s="40"/>
      <c r="N225" s="40"/>
    </row>
    <row r="226" spans="1:14" ht="15" customHeight="1">
      <c r="A226" s="50" t="s">
        <v>345</v>
      </c>
      <c r="B226" s="43" t="str">
        <f>IFERROR(INDEX(Dim_Proyectos!$A:$A,MATCH(A226,Dim_Proyectos!$B:$B,0)),"")</f>
        <v>P010</v>
      </c>
      <c r="C226" s="44" t="s">
        <v>133</v>
      </c>
      <c r="D226" s="44" t="s">
        <v>152</v>
      </c>
      <c r="E226" s="45" t="s">
        <v>529</v>
      </c>
      <c r="F226" s="44"/>
      <c r="G226" s="44"/>
      <c r="H226" s="44"/>
      <c r="I226" s="44"/>
      <c r="J226" s="44"/>
      <c r="K226" s="44" t="s">
        <v>151</v>
      </c>
      <c r="L226" s="44"/>
      <c r="M226" s="44"/>
      <c r="N226" s="44"/>
    </row>
    <row r="227" spans="1:14" ht="15" customHeight="1">
      <c r="A227" s="50" t="s">
        <v>345</v>
      </c>
      <c r="B227" s="39" t="str">
        <f>IFERROR(INDEX(Dim_Proyectos!$A:$A,MATCH(A227,Dim_Proyectos!$B:$B,0)),"")</f>
        <v>P010</v>
      </c>
      <c r="C227" s="40" t="s">
        <v>133</v>
      </c>
      <c r="D227" s="40" t="s">
        <v>152</v>
      </c>
      <c r="E227" s="41" t="s">
        <v>530</v>
      </c>
      <c r="F227" s="40"/>
      <c r="G227" s="40"/>
      <c r="H227" s="40"/>
      <c r="I227" s="40"/>
      <c r="J227" s="40"/>
      <c r="K227" s="40" t="s">
        <v>151</v>
      </c>
      <c r="L227" s="40"/>
      <c r="M227" s="40"/>
      <c r="N227" s="40"/>
    </row>
    <row r="228" spans="1:14" ht="15" customHeight="1">
      <c r="A228" s="50" t="s">
        <v>345</v>
      </c>
      <c r="B228" s="43" t="str">
        <f>IFERROR(INDEX(Dim_Proyectos!$A:$A,MATCH(A228,Dim_Proyectos!$B:$B,0)),"")</f>
        <v>P010</v>
      </c>
      <c r="C228" s="44" t="s">
        <v>133</v>
      </c>
      <c r="D228" s="44" t="s">
        <v>152</v>
      </c>
      <c r="E228" s="45" t="s">
        <v>531</v>
      </c>
      <c r="F228" s="44"/>
      <c r="G228" s="44"/>
      <c r="H228" s="44"/>
      <c r="I228" s="44"/>
      <c r="J228" s="44"/>
      <c r="K228" s="44" t="s">
        <v>151</v>
      </c>
      <c r="L228" s="44"/>
      <c r="M228" s="44"/>
      <c r="N228" s="44"/>
    </row>
    <row r="229" spans="1:14" ht="20.25" customHeight="1">
      <c r="A229" s="50" t="s">
        <v>345</v>
      </c>
      <c r="B229" s="39" t="str">
        <f>IFERROR(INDEX(Dim_Proyectos!$A:$A,MATCH(A229,Dim_Proyectos!$B:$B,0)),"")</f>
        <v>P010</v>
      </c>
      <c r="C229" s="40" t="s">
        <v>133</v>
      </c>
      <c r="D229" s="40" t="s">
        <v>152</v>
      </c>
      <c r="E229" s="41" t="s">
        <v>532</v>
      </c>
      <c r="F229" s="40"/>
      <c r="G229" s="40"/>
      <c r="H229" s="40"/>
      <c r="I229" s="40"/>
      <c r="J229" s="40"/>
      <c r="K229" s="40" t="s">
        <v>151</v>
      </c>
      <c r="L229" s="40"/>
      <c r="M229" s="40"/>
      <c r="N229" s="40"/>
    </row>
    <row r="230" spans="1:14" ht="15" customHeight="1">
      <c r="A230" s="50" t="s">
        <v>345</v>
      </c>
      <c r="B230" s="43" t="str">
        <f>IFERROR(INDEX(Dim_Proyectos!$A:$A,MATCH(A230,Dim_Proyectos!$B:$B,0)),"")</f>
        <v>P010</v>
      </c>
      <c r="C230" s="44" t="s">
        <v>133</v>
      </c>
      <c r="D230" s="44" t="s">
        <v>152</v>
      </c>
      <c r="E230" s="45" t="s">
        <v>533</v>
      </c>
      <c r="F230" s="44"/>
      <c r="G230" s="44"/>
      <c r="H230" s="44"/>
      <c r="I230" s="44"/>
      <c r="J230" s="44"/>
      <c r="K230" s="44" t="s">
        <v>151</v>
      </c>
      <c r="L230" s="44"/>
      <c r="M230" s="44"/>
      <c r="N230" s="44"/>
    </row>
    <row r="231" spans="1:14" ht="15" customHeight="1">
      <c r="A231" s="50" t="s">
        <v>345</v>
      </c>
      <c r="B231" s="39" t="str">
        <f>IFERROR(INDEX(Dim_Proyectos!$A:$A,MATCH(A231,Dim_Proyectos!$B:$B,0)),"")</f>
        <v>P010</v>
      </c>
      <c r="C231" s="40" t="s">
        <v>133</v>
      </c>
      <c r="D231" s="40" t="s">
        <v>152</v>
      </c>
      <c r="E231" s="41" t="s">
        <v>534</v>
      </c>
      <c r="F231" s="40"/>
      <c r="G231" s="40"/>
      <c r="H231" s="40"/>
      <c r="I231" s="40"/>
      <c r="J231" s="40"/>
      <c r="K231" s="40" t="s">
        <v>151</v>
      </c>
      <c r="L231" s="40"/>
      <c r="M231" s="40"/>
      <c r="N231" s="40"/>
    </row>
    <row r="232" spans="1:14" ht="15" customHeight="1">
      <c r="A232" s="50" t="s">
        <v>345</v>
      </c>
      <c r="B232" s="43" t="str">
        <f>IFERROR(INDEX(Dim_Proyectos!$A:$A,MATCH(A232,Dim_Proyectos!$B:$B,0)),"")</f>
        <v>P010</v>
      </c>
      <c r="C232" s="44" t="s">
        <v>133</v>
      </c>
      <c r="D232" s="44" t="s">
        <v>152</v>
      </c>
      <c r="E232" s="45" t="s">
        <v>535</v>
      </c>
      <c r="F232" s="44"/>
      <c r="G232" s="44"/>
      <c r="H232" s="44"/>
      <c r="I232" s="44"/>
      <c r="J232" s="44"/>
      <c r="K232" s="44" t="s">
        <v>136</v>
      </c>
      <c r="L232" s="44"/>
      <c r="M232" s="44"/>
      <c r="N232" s="44"/>
    </row>
    <row r="233" spans="1:14" ht="15" customHeight="1">
      <c r="A233" s="50" t="s">
        <v>345</v>
      </c>
      <c r="B233" s="39" t="str">
        <f>IFERROR(INDEX(Dim_Proyectos!$A:$A,MATCH(A233,Dim_Proyectos!$B:$B,0)),"")</f>
        <v>P010</v>
      </c>
      <c r="C233" s="40" t="s">
        <v>133</v>
      </c>
      <c r="D233" s="40" t="s">
        <v>152</v>
      </c>
      <c r="E233" s="41" t="s">
        <v>536</v>
      </c>
      <c r="F233" s="40"/>
      <c r="G233" s="40"/>
      <c r="H233" s="40"/>
      <c r="I233" s="40"/>
      <c r="J233" s="40"/>
      <c r="K233" s="40" t="s">
        <v>151</v>
      </c>
      <c r="L233" s="40"/>
      <c r="M233" s="40"/>
      <c r="N233" s="40"/>
    </row>
    <row r="234" spans="1:14" ht="15" customHeight="1">
      <c r="A234" s="50" t="s">
        <v>345</v>
      </c>
      <c r="B234" s="43" t="str">
        <f>IFERROR(INDEX(Dim_Proyectos!$A:$A,MATCH(A234,Dim_Proyectos!$B:$B,0)),"")</f>
        <v>P010</v>
      </c>
      <c r="C234" s="44" t="s">
        <v>133</v>
      </c>
      <c r="D234" s="44" t="s">
        <v>152</v>
      </c>
      <c r="E234" s="45" t="s">
        <v>537</v>
      </c>
      <c r="F234" s="44"/>
      <c r="G234" s="44"/>
      <c r="H234" s="44"/>
      <c r="I234" s="44"/>
      <c r="J234" s="44"/>
      <c r="K234" s="44" t="s">
        <v>151</v>
      </c>
      <c r="L234" s="44"/>
      <c r="M234" s="44"/>
      <c r="N234" s="44"/>
    </row>
    <row r="235" spans="1:14" ht="15" customHeight="1">
      <c r="A235" s="50" t="s">
        <v>345</v>
      </c>
      <c r="B235" s="39" t="str">
        <f>IFERROR(INDEX(Dim_Proyectos!$A:$A,MATCH(A235,Dim_Proyectos!$B:$B,0)),"")</f>
        <v>P010</v>
      </c>
      <c r="C235" s="40" t="s">
        <v>133</v>
      </c>
      <c r="D235" s="40" t="s">
        <v>187</v>
      </c>
      <c r="E235" s="41" t="s">
        <v>406</v>
      </c>
      <c r="F235" s="40"/>
      <c r="G235" s="40"/>
      <c r="H235" s="40"/>
      <c r="I235" s="40"/>
      <c r="J235" s="40"/>
      <c r="K235" s="40" t="s">
        <v>151</v>
      </c>
      <c r="L235" s="40"/>
      <c r="M235" s="40"/>
      <c r="N235" s="40"/>
    </row>
    <row r="236" spans="1:14" ht="15" customHeight="1">
      <c r="A236" s="50" t="s">
        <v>345</v>
      </c>
      <c r="B236" s="43" t="str">
        <f>IFERROR(INDEX(Dim_Proyectos!$A:$A,MATCH(A236,Dim_Proyectos!$B:$B,0)),"")</f>
        <v>P010</v>
      </c>
      <c r="C236" s="44" t="s">
        <v>133</v>
      </c>
      <c r="D236" s="44" t="s">
        <v>187</v>
      </c>
      <c r="E236" s="45" t="s">
        <v>407</v>
      </c>
      <c r="F236" s="44"/>
      <c r="G236" s="44"/>
      <c r="H236" s="44"/>
      <c r="I236" s="44"/>
      <c r="J236" s="44"/>
      <c r="K236" s="44" t="s">
        <v>151</v>
      </c>
      <c r="L236" s="44"/>
      <c r="M236" s="44"/>
      <c r="N236" s="44"/>
    </row>
    <row r="237" spans="1:14" ht="15" customHeight="1">
      <c r="A237" s="50" t="s">
        <v>345</v>
      </c>
      <c r="B237" s="39" t="str">
        <f>IFERROR(INDEX(Dim_Proyectos!$A:$A,MATCH(A237,Dim_Proyectos!$B:$B,0)),"")</f>
        <v>P010</v>
      </c>
      <c r="C237" s="40" t="s">
        <v>133</v>
      </c>
      <c r="D237" s="40" t="s">
        <v>187</v>
      </c>
      <c r="E237" s="41" t="s">
        <v>538</v>
      </c>
      <c r="F237" s="40"/>
      <c r="G237" s="40"/>
      <c r="H237" s="40"/>
      <c r="I237" s="40"/>
      <c r="J237" s="40"/>
      <c r="K237" s="40" t="s">
        <v>151</v>
      </c>
      <c r="L237" s="40"/>
      <c r="M237" s="40"/>
      <c r="N237" s="40"/>
    </row>
    <row r="238" spans="1:14" ht="15" customHeight="1">
      <c r="A238" s="50" t="s">
        <v>345</v>
      </c>
      <c r="B238" s="43" t="str">
        <f>IFERROR(INDEX(Dim_Proyectos!$A:$A,MATCH(A238,Dim_Proyectos!$B:$B,0)),"")</f>
        <v>P010</v>
      </c>
      <c r="C238" s="44" t="s">
        <v>133</v>
      </c>
      <c r="D238" s="44" t="s">
        <v>187</v>
      </c>
      <c r="E238" s="45" t="s">
        <v>409</v>
      </c>
      <c r="F238" s="44"/>
      <c r="G238" s="44"/>
      <c r="H238" s="44"/>
      <c r="I238" s="44"/>
      <c r="J238" s="44"/>
      <c r="K238" s="44" t="s">
        <v>151</v>
      </c>
      <c r="L238" s="44"/>
      <c r="M238" s="44"/>
      <c r="N238" s="44"/>
    </row>
    <row r="239" spans="1:14" ht="15" customHeight="1">
      <c r="A239" s="50" t="s">
        <v>345</v>
      </c>
      <c r="B239" s="39" t="str">
        <f>IFERROR(INDEX(Dim_Proyectos!$A:$A,MATCH(A239,Dim_Proyectos!$B:$B,0)),"")</f>
        <v>P010</v>
      </c>
      <c r="C239" s="40" t="s">
        <v>133</v>
      </c>
      <c r="D239" s="40" t="s">
        <v>187</v>
      </c>
      <c r="E239" s="41" t="s">
        <v>539</v>
      </c>
      <c r="F239" s="40"/>
      <c r="G239" s="40"/>
      <c r="H239" s="40"/>
      <c r="I239" s="40"/>
      <c r="J239" s="40"/>
      <c r="K239" s="40" t="s">
        <v>151</v>
      </c>
      <c r="L239" s="40"/>
      <c r="M239" s="40"/>
      <c r="N239" s="40"/>
    </row>
    <row r="240" spans="1:14" ht="15" customHeight="1">
      <c r="A240" s="50" t="s">
        <v>345</v>
      </c>
      <c r="B240" s="43" t="str">
        <f>IFERROR(INDEX(Dim_Proyectos!$A:$A,MATCH(A240,Dim_Proyectos!$B:$B,0)),"")</f>
        <v>P010</v>
      </c>
      <c r="C240" s="44" t="s">
        <v>133</v>
      </c>
      <c r="D240" s="44" t="s">
        <v>187</v>
      </c>
      <c r="E240" s="45" t="s">
        <v>540</v>
      </c>
      <c r="F240" s="44"/>
      <c r="G240" s="44"/>
      <c r="H240" s="44"/>
      <c r="I240" s="44"/>
      <c r="J240" s="44"/>
      <c r="K240" s="44" t="s">
        <v>151</v>
      </c>
      <c r="L240" s="44"/>
      <c r="M240" s="44"/>
      <c r="N240" s="44"/>
    </row>
    <row r="241" spans="1:14" ht="15" customHeight="1">
      <c r="A241" s="50" t="s">
        <v>345</v>
      </c>
      <c r="B241" s="39" t="str">
        <f>IFERROR(INDEX(Dim_Proyectos!$A:$A,MATCH(A241,Dim_Proyectos!$B:$B,0)),"")</f>
        <v>P010</v>
      </c>
      <c r="C241" s="40" t="s">
        <v>133</v>
      </c>
      <c r="D241" s="40" t="s">
        <v>187</v>
      </c>
      <c r="E241" s="41" t="s">
        <v>541</v>
      </c>
      <c r="F241" s="40"/>
      <c r="G241" s="40"/>
      <c r="H241" s="40"/>
      <c r="I241" s="40"/>
      <c r="J241" s="40"/>
      <c r="K241" s="40" t="s">
        <v>151</v>
      </c>
      <c r="L241" s="40"/>
      <c r="M241" s="40"/>
      <c r="N241" s="40"/>
    </row>
    <row r="242" spans="1:14" ht="15" customHeight="1">
      <c r="A242" s="50" t="s">
        <v>345</v>
      </c>
      <c r="B242" s="43" t="str">
        <f>IFERROR(INDEX(Dim_Proyectos!$A:$A,MATCH(A242,Dim_Proyectos!$B:$B,0)),"")</f>
        <v>P010</v>
      </c>
      <c r="C242" s="44" t="s">
        <v>133</v>
      </c>
      <c r="D242" s="44" t="s">
        <v>187</v>
      </c>
      <c r="E242" s="45" t="s">
        <v>542</v>
      </c>
      <c r="F242" s="44"/>
      <c r="G242" s="44"/>
      <c r="H242" s="44"/>
      <c r="I242" s="44"/>
      <c r="J242" s="44"/>
      <c r="K242" s="44" t="s">
        <v>151</v>
      </c>
      <c r="L242" s="44"/>
      <c r="M242" s="44"/>
      <c r="N242" s="44"/>
    </row>
    <row r="243" spans="1:14" ht="15" customHeight="1">
      <c r="A243" s="50" t="s">
        <v>345</v>
      </c>
      <c r="B243" s="39" t="str">
        <f>IFERROR(INDEX(Dim_Proyectos!$A:$A,MATCH(A243,Dim_Proyectos!$B:$B,0)),"")</f>
        <v>P010</v>
      </c>
      <c r="C243" s="40" t="s">
        <v>133</v>
      </c>
      <c r="D243" s="40" t="s">
        <v>187</v>
      </c>
      <c r="E243" s="41" t="s">
        <v>543</v>
      </c>
      <c r="F243" s="40"/>
      <c r="G243" s="40"/>
      <c r="H243" s="40"/>
      <c r="I243" s="40"/>
      <c r="J243" s="40"/>
      <c r="K243" s="40" t="s">
        <v>151</v>
      </c>
      <c r="L243" s="40"/>
      <c r="M243" s="40"/>
      <c r="N243" s="40"/>
    </row>
    <row r="244" spans="1:14" ht="15" customHeight="1">
      <c r="A244" s="50" t="s">
        <v>345</v>
      </c>
      <c r="B244" s="43" t="str">
        <f>IFERROR(INDEX(Dim_Proyectos!$A:$A,MATCH(A244,Dim_Proyectos!$B:$B,0)),"")</f>
        <v>P010</v>
      </c>
      <c r="C244" s="44" t="s">
        <v>133</v>
      </c>
      <c r="D244" s="44" t="s">
        <v>187</v>
      </c>
      <c r="E244" s="45" t="s">
        <v>544</v>
      </c>
      <c r="F244" s="44"/>
      <c r="G244" s="44"/>
      <c r="H244" s="44"/>
      <c r="I244" s="44"/>
      <c r="J244" s="44"/>
      <c r="K244" s="44" t="s">
        <v>151</v>
      </c>
      <c r="L244" s="44"/>
      <c r="M244" s="44"/>
      <c r="N244" s="44"/>
    </row>
    <row r="245" spans="1:14" ht="15" customHeight="1">
      <c r="A245" s="50" t="s">
        <v>345</v>
      </c>
      <c r="B245" s="39" t="str">
        <f>IFERROR(INDEX(Dim_Proyectos!$A:$A,MATCH(A245,Dim_Proyectos!$B:$B,0)),"")</f>
        <v>P010</v>
      </c>
      <c r="C245" s="40" t="s">
        <v>133</v>
      </c>
      <c r="D245" s="40" t="s">
        <v>187</v>
      </c>
      <c r="E245" s="41" t="s">
        <v>412</v>
      </c>
      <c r="F245" s="40"/>
      <c r="G245" s="40"/>
      <c r="H245" s="40"/>
      <c r="I245" s="40"/>
      <c r="J245" s="40"/>
      <c r="K245" s="40" t="s">
        <v>151</v>
      </c>
      <c r="L245" s="40"/>
      <c r="M245" s="40"/>
      <c r="N245" s="40"/>
    </row>
    <row r="246" spans="1:14" ht="15" customHeight="1">
      <c r="A246" s="50" t="s">
        <v>345</v>
      </c>
      <c r="B246" s="43" t="str">
        <f>IFERROR(INDEX(Dim_Proyectos!$A:$A,MATCH(A246,Dim_Proyectos!$B:$B,0)),"")</f>
        <v>P010</v>
      </c>
      <c r="C246" s="44" t="s">
        <v>133</v>
      </c>
      <c r="D246" s="44" t="s">
        <v>187</v>
      </c>
      <c r="E246" s="45" t="s">
        <v>411</v>
      </c>
      <c r="F246" s="44"/>
      <c r="G246" s="44"/>
      <c r="H246" s="44"/>
      <c r="I246" s="44"/>
      <c r="J246" s="44"/>
      <c r="K246" s="44" t="s">
        <v>151</v>
      </c>
      <c r="L246" s="44"/>
      <c r="M246" s="44"/>
      <c r="N246" s="44"/>
    </row>
    <row r="247" spans="1:14" ht="15" customHeight="1">
      <c r="A247" s="50" t="s">
        <v>345</v>
      </c>
      <c r="B247" s="39" t="str">
        <f>IFERROR(INDEX(Dim_Proyectos!$A:$A,MATCH(A247,Dim_Proyectos!$B:$B,0)),"")</f>
        <v>P010</v>
      </c>
      <c r="C247" s="40" t="s">
        <v>133</v>
      </c>
      <c r="D247" s="40" t="s">
        <v>187</v>
      </c>
      <c r="E247" s="41" t="s">
        <v>545</v>
      </c>
      <c r="F247" s="40"/>
      <c r="G247" s="40"/>
      <c r="H247" s="40"/>
      <c r="I247" s="40"/>
      <c r="J247" s="40"/>
      <c r="K247" s="40" t="s">
        <v>151</v>
      </c>
      <c r="L247" s="40"/>
      <c r="M247" s="40"/>
      <c r="N247" s="40"/>
    </row>
    <row r="248" spans="1:14" ht="15" customHeight="1">
      <c r="A248" s="50" t="s">
        <v>345</v>
      </c>
      <c r="B248" s="43" t="str">
        <f>IFERROR(INDEX(Dim_Proyectos!$A:$A,MATCH(A248,Dim_Proyectos!$B:$B,0)),"")</f>
        <v>P010</v>
      </c>
      <c r="C248" s="44" t="s">
        <v>133</v>
      </c>
      <c r="D248" s="44" t="s">
        <v>187</v>
      </c>
      <c r="E248" s="45" t="s">
        <v>546</v>
      </c>
      <c r="F248" s="44"/>
      <c r="G248" s="44"/>
      <c r="H248" s="44"/>
      <c r="I248" s="44"/>
      <c r="J248" s="44"/>
      <c r="K248" s="44" t="s">
        <v>151</v>
      </c>
      <c r="L248" s="44"/>
      <c r="M248" s="44"/>
      <c r="N248" s="44"/>
    </row>
    <row r="249" spans="1:14" ht="15" customHeight="1">
      <c r="A249" s="50" t="s">
        <v>345</v>
      </c>
      <c r="B249" s="39" t="str">
        <f>IFERROR(INDEX(Dim_Proyectos!$A:$A,MATCH(A249,Dim_Proyectos!$B:$B,0)),"")</f>
        <v>P010</v>
      </c>
      <c r="C249" s="40" t="s">
        <v>133</v>
      </c>
      <c r="D249" s="40" t="s">
        <v>157</v>
      </c>
      <c r="E249" s="41" t="s">
        <v>547</v>
      </c>
      <c r="F249" s="40"/>
      <c r="G249" s="40"/>
      <c r="H249" s="40"/>
      <c r="I249" s="40"/>
      <c r="J249" s="40"/>
      <c r="K249" s="40" t="s">
        <v>136</v>
      </c>
      <c r="L249" s="40"/>
      <c r="M249" s="40"/>
      <c r="N249" s="40"/>
    </row>
    <row r="250" spans="1:14" ht="15" customHeight="1">
      <c r="A250" s="50" t="s">
        <v>345</v>
      </c>
      <c r="B250" s="43" t="str">
        <f>IFERROR(INDEX(Dim_Proyectos!$A:$A,MATCH(A250,Dim_Proyectos!$B:$B,0)),"")</f>
        <v>P010</v>
      </c>
      <c r="C250" s="44" t="s">
        <v>133</v>
      </c>
      <c r="D250" s="44" t="s">
        <v>157</v>
      </c>
      <c r="E250" s="45" t="s">
        <v>466</v>
      </c>
      <c r="F250" s="44"/>
      <c r="G250" s="44"/>
      <c r="H250" s="44"/>
      <c r="I250" s="44"/>
      <c r="J250" s="44"/>
      <c r="K250" s="44" t="s">
        <v>136</v>
      </c>
      <c r="L250" s="44"/>
      <c r="M250" s="44"/>
      <c r="N250" s="44"/>
    </row>
    <row r="251" spans="1:14" ht="15" customHeight="1">
      <c r="A251" s="50" t="s">
        <v>345</v>
      </c>
      <c r="B251" s="39" t="str">
        <f>IFERROR(INDEX(Dim_Proyectos!$A:$A,MATCH(A251,Dim_Proyectos!$B:$B,0)),"")</f>
        <v>P010</v>
      </c>
      <c r="C251" s="40" t="s">
        <v>133</v>
      </c>
      <c r="D251" s="40" t="s">
        <v>157</v>
      </c>
      <c r="E251" s="41" t="s">
        <v>548</v>
      </c>
      <c r="F251" s="40"/>
      <c r="G251" s="40"/>
      <c r="H251" s="40"/>
      <c r="I251" s="40"/>
      <c r="J251" s="40"/>
      <c r="K251" s="40" t="s">
        <v>136</v>
      </c>
      <c r="L251" s="40"/>
      <c r="M251" s="40"/>
      <c r="N251" s="40"/>
    </row>
    <row r="252" spans="1:14" ht="15" customHeight="1">
      <c r="A252" s="50" t="s">
        <v>345</v>
      </c>
      <c r="B252" s="43" t="str">
        <f>IFERROR(INDEX(Dim_Proyectos!$A:$A,MATCH(A252,Dim_Proyectos!$B:$B,0)),"")</f>
        <v>P010</v>
      </c>
      <c r="C252" s="44" t="s">
        <v>133</v>
      </c>
      <c r="D252" s="44" t="s">
        <v>157</v>
      </c>
      <c r="E252" s="45" t="s">
        <v>549</v>
      </c>
      <c r="F252" s="44"/>
      <c r="G252" s="44"/>
      <c r="H252" s="44"/>
      <c r="I252" s="44"/>
      <c r="J252" s="44"/>
      <c r="K252" s="44" t="s">
        <v>136</v>
      </c>
      <c r="L252" s="44"/>
      <c r="M252" s="44"/>
      <c r="N252" s="44"/>
    </row>
    <row r="253" spans="1:14" ht="15" customHeight="1">
      <c r="A253" s="50" t="s">
        <v>345</v>
      </c>
      <c r="B253" s="39" t="str">
        <f>IFERROR(INDEX(Dim_Proyectos!$A:$A,MATCH(A253,Dim_Proyectos!$B:$B,0)),"")</f>
        <v>P010</v>
      </c>
      <c r="C253" s="40" t="s">
        <v>133</v>
      </c>
      <c r="D253" s="40" t="s">
        <v>157</v>
      </c>
      <c r="E253" s="41" t="s">
        <v>550</v>
      </c>
      <c r="F253" s="40"/>
      <c r="G253" s="40"/>
      <c r="H253" s="40"/>
      <c r="I253" s="40"/>
      <c r="J253" s="40"/>
      <c r="K253" s="40" t="s">
        <v>136</v>
      </c>
      <c r="L253" s="40"/>
      <c r="M253" s="40"/>
      <c r="N253" s="40"/>
    </row>
    <row r="254" spans="1:14" ht="15" customHeight="1">
      <c r="A254" s="50" t="s">
        <v>345</v>
      </c>
      <c r="B254" s="43" t="str">
        <f>IFERROR(INDEX(Dim_Proyectos!$A:$A,MATCH(A254,Dim_Proyectos!$B:$B,0)),"")</f>
        <v>P010</v>
      </c>
      <c r="C254" s="44" t="s">
        <v>133</v>
      </c>
      <c r="D254" s="44" t="s">
        <v>157</v>
      </c>
      <c r="E254" s="45" t="s">
        <v>551</v>
      </c>
      <c r="F254" s="44"/>
      <c r="G254" s="44"/>
      <c r="H254" s="44"/>
      <c r="I254" s="44"/>
      <c r="J254" s="44"/>
      <c r="K254" s="44" t="s">
        <v>136</v>
      </c>
      <c r="L254" s="44"/>
      <c r="M254" s="44"/>
      <c r="N254" s="44"/>
    </row>
    <row r="255" spans="1:14" ht="15" customHeight="1">
      <c r="A255" s="50" t="s">
        <v>345</v>
      </c>
      <c r="B255" s="39" t="str">
        <f>IFERROR(INDEX(Dim_Proyectos!$A:$A,MATCH(A255,Dim_Proyectos!$B:$B,0)),"")</f>
        <v>P010</v>
      </c>
      <c r="C255" s="40" t="s">
        <v>133</v>
      </c>
      <c r="D255" s="40" t="s">
        <v>157</v>
      </c>
      <c r="E255" s="41" t="s">
        <v>552</v>
      </c>
      <c r="F255" s="40"/>
      <c r="G255" s="40"/>
      <c r="H255" s="40"/>
      <c r="I255" s="40"/>
      <c r="J255" s="40"/>
      <c r="K255" s="40" t="s">
        <v>136</v>
      </c>
      <c r="L255" s="40"/>
      <c r="M255" s="40"/>
      <c r="N255" s="40"/>
    </row>
    <row r="256" spans="1:14" ht="15" customHeight="1">
      <c r="A256" s="50" t="s">
        <v>345</v>
      </c>
      <c r="B256" s="43" t="str">
        <f>IFERROR(INDEX(Dim_Proyectos!$A:$A,MATCH(A256,Dim_Proyectos!$B:$B,0)),"")</f>
        <v>P010</v>
      </c>
      <c r="C256" s="44" t="s">
        <v>133</v>
      </c>
      <c r="D256" s="44" t="s">
        <v>157</v>
      </c>
      <c r="E256" s="45" t="s">
        <v>553</v>
      </c>
      <c r="F256" s="44"/>
      <c r="G256" s="44"/>
      <c r="H256" s="44"/>
      <c r="I256" s="44"/>
      <c r="J256" s="44"/>
      <c r="K256" s="44" t="s">
        <v>136</v>
      </c>
      <c r="L256" s="44"/>
      <c r="M256" s="44"/>
      <c r="N256" s="44"/>
    </row>
    <row r="257" spans="1:14" ht="15" customHeight="1">
      <c r="A257" s="50" t="s">
        <v>345</v>
      </c>
      <c r="B257" s="39" t="str">
        <f>IFERROR(INDEX(Dim_Proyectos!$A:$A,MATCH(A257,Dim_Proyectos!$B:$B,0)),"")</f>
        <v>P010</v>
      </c>
      <c r="C257" s="40" t="s">
        <v>133</v>
      </c>
      <c r="D257" s="40" t="s">
        <v>157</v>
      </c>
      <c r="E257" s="41" t="s">
        <v>554</v>
      </c>
      <c r="F257" s="40"/>
      <c r="G257" s="40"/>
      <c r="H257" s="40"/>
      <c r="I257" s="40"/>
      <c r="J257" s="40"/>
      <c r="K257" s="40" t="s">
        <v>136</v>
      </c>
      <c r="L257" s="40"/>
      <c r="M257" s="40"/>
      <c r="N257" s="40"/>
    </row>
    <row r="258" spans="1:14" ht="15" customHeight="1">
      <c r="A258" s="50" t="s">
        <v>345</v>
      </c>
      <c r="B258" s="43" t="str">
        <f>IFERROR(INDEX(Dim_Proyectos!$A:$A,MATCH(A258,Dim_Proyectos!$B:$B,0)),"")</f>
        <v>P010</v>
      </c>
      <c r="C258" s="44" t="s">
        <v>133</v>
      </c>
      <c r="D258" s="44" t="s">
        <v>157</v>
      </c>
      <c r="E258" s="45" t="s">
        <v>555</v>
      </c>
      <c r="F258" s="44"/>
      <c r="G258" s="44"/>
      <c r="H258" s="44"/>
      <c r="I258" s="44"/>
      <c r="J258" s="44"/>
      <c r="K258" s="44" t="s">
        <v>136</v>
      </c>
      <c r="L258" s="44"/>
      <c r="M258" s="44"/>
      <c r="N258" s="44"/>
    </row>
    <row r="259" spans="1:14" ht="15" customHeight="1">
      <c r="A259" s="50" t="s">
        <v>345</v>
      </c>
      <c r="B259" s="39" t="str">
        <f>IFERROR(INDEX(Dim_Proyectos!$A:$A,MATCH(A259,Dim_Proyectos!$B:$B,0)),"")</f>
        <v>P010</v>
      </c>
      <c r="C259" s="40" t="s">
        <v>133</v>
      </c>
      <c r="D259" s="40" t="s">
        <v>157</v>
      </c>
      <c r="E259" s="41" t="s">
        <v>474</v>
      </c>
      <c r="F259" s="40"/>
      <c r="G259" s="40"/>
      <c r="H259" s="40"/>
      <c r="I259" s="40"/>
      <c r="J259" s="40"/>
      <c r="K259" s="40" t="s">
        <v>136</v>
      </c>
      <c r="L259" s="40"/>
      <c r="M259" s="40"/>
      <c r="N259" s="40"/>
    </row>
    <row r="260" spans="1:14" ht="15" customHeight="1">
      <c r="A260" s="50" t="s">
        <v>345</v>
      </c>
      <c r="B260" s="43" t="str">
        <f>IFERROR(INDEX(Dim_Proyectos!$A:$A,MATCH(A260,Dim_Proyectos!$B:$B,0)),"")</f>
        <v>P010</v>
      </c>
      <c r="C260" s="44" t="s">
        <v>133</v>
      </c>
      <c r="D260" s="44" t="s">
        <v>206</v>
      </c>
      <c r="E260" s="45" t="s">
        <v>480</v>
      </c>
      <c r="F260" s="44"/>
      <c r="G260" s="44"/>
      <c r="H260" s="44"/>
      <c r="I260" s="44"/>
      <c r="J260" s="44"/>
      <c r="K260" s="44" t="s">
        <v>136</v>
      </c>
      <c r="L260" s="44"/>
      <c r="M260" s="44"/>
      <c r="N260" s="44"/>
    </row>
    <row r="261" spans="1:14" ht="15" customHeight="1">
      <c r="A261" s="50" t="s">
        <v>345</v>
      </c>
      <c r="B261" s="39" t="str">
        <f>IFERROR(INDEX(Dim_Proyectos!$A:$A,MATCH(A261,Dim_Proyectos!$B:$B,0)),"")</f>
        <v>P010</v>
      </c>
      <c r="C261" s="40" t="s">
        <v>133</v>
      </c>
      <c r="D261" s="40" t="s">
        <v>206</v>
      </c>
      <c r="E261" s="41" t="s">
        <v>481</v>
      </c>
      <c r="F261" s="40"/>
      <c r="G261" s="40"/>
      <c r="H261" s="40"/>
      <c r="I261" s="40"/>
      <c r="J261" s="40"/>
      <c r="K261" s="40" t="s">
        <v>136</v>
      </c>
      <c r="L261" s="40"/>
      <c r="M261" s="40"/>
      <c r="N261" s="40"/>
    </row>
    <row r="262" spans="1:14" ht="15" customHeight="1">
      <c r="A262" s="50" t="s">
        <v>345</v>
      </c>
      <c r="B262" s="43" t="str">
        <f>IFERROR(INDEX(Dim_Proyectos!$A:$A,MATCH(A262,Dim_Proyectos!$B:$B,0)),"")</f>
        <v>P010</v>
      </c>
      <c r="C262" s="44" t="s">
        <v>133</v>
      </c>
      <c r="D262" s="44" t="s">
        <v>206</v>
      </c>
      <c r="E262" s="45" t="s">
        <v>482</v>
      </c>
      <c r="F262" s="44"/>
      <c r="G262" s="44"/>
      <c r="H262" s="44"/>
      <c r="I262" s="44"/>
      <c r="J262" s="44"/>
      <c r="K262" s="44" t="s">
        <v>136</v>
      </c>
      <c r="L262" s="44"/>
      <c r="M262" s="44"/>
      <c r="N262" s="44"/>
    </row>
    <row r="263" spans="1:14" ht="15" customHeight="1">
      <c r="A263" s="50" t="s">
        <v>345</v>
      </c>
      <c r="B263" s="39" t="str">
        <f>IFERROR(INDEX(Dim_Proyectos!$A:$A,MATCH(A263,Dim_Proyectos!$B:$B,0)),"")</f>
        <v>P010</v>
      </c>
      <c r="C263" s="40" t="s">
        <v>133</v>
      </c>
      <c r="D263" s="40" t="s">
        <v>206</v>
      </c>
      <c r="E263" s="41" t="s">
        <v>556</v>
      </c>
      <c r="F263" s="40"/>
      <c r="G263" s="40"/>
      <c r="H263" s="40"/>
      <c r="I263" s="40"/>
      <c r="J263" s="40"/>
      <c r="K263" s="40" t="s">
        <v>136</v>
      </c>
      <c r="L263" s="40"/>
      <c r="M263" s="40"/>
      <c r="N263" s="40"/>
    </row>
    <row r="264" spans="1:14" ht="15" customHeight="1">
      <c r="A264" s="50" t="s">
        <v>345</v>
      </c>
      <c r="B264" s="43" t="str">
        <f>IFERROR(INDEX(Dim_Proyectos!$A:$A,MATCH(A264,Dim_Proyectos!$B:$B,0)),"")</f>
        <v>P010</v>
      </c>
      <c r="C264" s="44" t="s">
        <v>133</v>
      </c>
      <c r="D264" s="44" t="s">
        <v>206</v>
      </c>
      <c r="E264" s="45" t="s">
        <v>556</v>
      </c>
      <c r="F264" s="44"/>
      <c r="G264" s="44"/>
      <c r="H264" s="44"/>
      <c r="I264" s="44"/>
      <c r="J264" s="44"/>
      <c r="K264" s="44" t="s">
        <v>147</v>
      </c>
      <c r="L264" s="44"/>
      <c r="M264" s="44"/>
      <c r="N264" s="44"/>
    </row>
    <row r="265" spans="1:14" ht="15" customHeight="1">
      <c r="A265" s="50" t="s">
        <v>345</v>
      </c>
      <c r="B265" s="39" t="str">
        <f>IFERROR(INDEX(Dim_Proyectos!$A:$A,MATCH(A265,Dim_Proyectos!$B:$B,0)),"")</f>
        <v>P010</v>
      </c>
      <c r="C265" s="40" t="s">
        <v>133</v>
      </c>
      <c r="D265" s="40" t="s">
        <v>150</v>
      </c>
      <c r="E265" s="41" t="s">
        <v>40</v>
      </c>
      <c r="F265" s="40"/>
      <c r="G265" s="40"/>
      <c r="H265" s="40"/>
      <c r="I265" s="40"/>
      <c r="J265" s="40"/>
      <c r="K265" s="40" t="s">
        <v>151</v>
      </c>
      <c r="L265" s="40"/>
      <c r="M265" s="40"/>
      <c r="N265" s="40"/>
    </row>
    <row r="266" spans="1:14" ht="15" customHeight="1">
      <c r="A266" s="50" t="s">
        <v>345</v>
      </c>
      <c r="B266" s="43" t="str">
        <f>IFERROR(INDEX(Dim_Proyectos!$A:$A,MATCH(A266,Dim_Proyectos!$B:$B,0)),"")</f>
        <v>P010</v>
      </c>
      <c r="C266" s="44" t="s">
        <v>133</v>
      </c>
      <c r="D266" s="44" t="s">
        <v>150</v>
      </c>
      <c r="E266" s="45" t="s">
        <v>40</v>
      </c>
      <c r="F266" s="44"/>
      <c r="G266" s="44"/>
      <c r="H266" s="44"/>
      <c r="I266" s="44"/>
      <c r="J266" s="44"/>
      <c r="K266" s="44" t="s">
        <v>151</v>
      </c>
      <c r="L266" s="44"/>
      <c r="M266" s="44"/>
      <c r="N266" s="44"/>
    </row>
    <row r="267" spans="1:14" ht="15" customHeight="1">
      <c r="A267" s="50" t="s">
        <v>345</v>
      </c>
      <c r="B267" s="39" t="str">
        <f>IFERROR(INDEX(Dim_Proyectos!$A:$A,MATCH(A267,Dim_Proyectos!$B:$B,0)),"")</f>
        <v>P010</v>
      </c>
      <c r="C267" s="40" t="s">
        <v>133</v>
      </c>
      <c r="D267" s="40" t="s">
        <v>226</v>
      </c>
      <c r="E267" s="41" t="s">
        <v>40</v>
      </c>
      <c r="F267" s="40"/>
      <c r="G267" s="40"/>
      <c r="H267" s="40"/>
      <c r="I267" s="40"/>
      <c r="J267" s="40"/>
      <c r="K267" s="40" t="s">
        <v>151</v>
      </c>
      <c r="L267" s="40"/>
      <c r="M267" s="40"/>
      <c r="N267" s="40"/>
    </row>
    <row r="268" spans="1:14" ht="15" customHeight="1">
      <c r="A268" s="50" t="s">
        <v>345</v>
      </c>
      <c r="B268" s="43" t="str">
        <f>IFERROR(INDEX(Dim_Proyectos!$A:$A,MATCH(A268,Dim_Proyectos!$B:$B,0)),"")</f>
        <v>P010</v>
      </c>
      <c r="C268" s="44" t="s">
        <v>133</v>
      </c>
      <c r="D268" s="44" t="s">
        <v>226</v>
      </c>
      <c r="E268" s="45" t="s">
        <v>40</v>
      </c>
      <c r="F268" s="44"/>
      <c r="G268" s="44"/>
      <c r="H268" s="44"/>
      <c r="I268" s="44"/>
      <c r="J268" s="44"/>
      <c r="K268" s="44" t="s">
        <v>151</v>
      </c>
      <c r="L268" s="44"/>
      <c r="M268" s="44"/>
      <c r="N268" s="44"/>
    </row>
    <row r="269" spans="1:14" ht="15" customHeight="1">
      <c r="A269" s="50" t="s">
        <v>345</v>
      </c>
      <c r="B269" s="39" t="str">
        <f>IFERROR(INDEX(Dim_Proyectos!$A:$A,MATCH(A269,Dim_Proyectos!$B:$B,0)),"")</f>
        <v>P010</v>
      </c>
      <c r="C269" s="40" t="s">
        <v>133</v>
      </c>
      <c r="D269" s="40" t="s">
        <v>134</v>
      </c>
      <c r="E269" s="41" t="s">
        <v>557</v>
      </c>
      <c r="F269" s="40"/>
      <c r="G269" s="40"/>
      <c r="H269" s="40"/>
      <c r="I269" s="40"/>
      <c r="J269" s="40"/>
      <c r="K269" s="40" t="s">
        <v>151</v>
      </c>
      <c r="L269" s="40"/>
      <c r="M269" s="40"/>
      <c r="N269" s="40"/>
    </row>
    <row r="270" spans="1:14" ht="15" customHeight="1">
      <c r="A270" s="50" t="s">
        <v>345</v>
      </c>
      <c r="B270" s="43" t="str">
        <f>IFERROR(INDEX(Dim_Proyectos!$A:$A,MATCH(A270,Dim_Proyectos!$B:$B,0)),"")</f>
        <v>P010</v>
      </c>
      <c r="C270" s="44" t="s">
        <v>133</v>
      </c>
      <c r="D270" s="44" t="s">
        <v>134</v>
      </c>
      <c r="E270" s="45" t="s">
        <v>558</v>
      </c>
      <c r="F270" s="44"/>
      <c r="G270" s="44"/>
      <c r="H270" s="44"/>
      <c r="I270" s="44"/>
      <c r="J270" s="44"/>
      <c r="K270" s="44"/>
      <c r="L270" s="44"/>
      <c r="M270" s="44"/>
      <c r="N270" s="44"/>
    </row>
    <row r="271" spans="1:14" ht="15" customHeight="1">
      <c r="A271" s="50" t="s">
        <v>345</v>
      </c>
      <c r="B271" s="39" t="str">
        <f>IFERROR(INDEX(Dim_Proyectos!$A:$A,MATCH(A271,Dim_Proyectos!$B:$B,0)),"")</f>
        <v>P010</v>
      </c>
      <c r="C271" s="40" t="s">
        <v>133</v>
      </c>
      <c r="D271" s="40" t="s">
        <v>192</v>
      </c>
      <c r="E271" s="41" t="s">
        <v>559</v>
      </c>
      <c r="F271" s="40"/>
      <c r="G271" s="40"/>
      <c r="H271" s="40"/>
      <c r="I271" s="40"/>
      <c r="J271" s="40"/>
      <c r="K271" s="40" t="s">
        <v>151</v>
      </c>
      <c r="L271" s="40"/>
      <c r="M271" s="40"/>
      <c r="N271" s="40"/>
    </row>
    <row r="272" spans="1:14" ht="15" customHeight="1">
      <c r="A272" s="50" t="s">
        <v>345</v>
      </c>
      <c r="B272" s="43" t="str">
        <f>IFERROR(INDEX(Dim_Proyectos!$A:$A,MATCH(A272,Dim_Proyectos!$B:$B,0)),"")</f>
        <v>P010</v>
      </c>
      <c r="C272" s="44" t="s">
        <v>133</v>
      </c>
      <c r="D272" s="44" t="s">
        <v>192</v>
      </c>
      <c r="E272" s="45" t="s">
        <v>560</v>
      </c>
      <c r="F272" s="44"/>
      <c r="G272" s="44"/>
      <c r="H272" s="44"/>
      <c r="I272" s="44"/>
      <c r="J272" s="44"/>
      <c r="K272" s="44" t="s">
        <v>151</v>
      </c>
      <c r="L272" s="44"/>
      <c r="M272" s="44"/>
      <c r="N272" s="44"/>
    </row>
    <row r="273" spans="1:14" ht="15" customHeight="1">
      <c r="A273" s="50" t="s">
        <v>345</v>
      </c>
      <c r="B273" s="39" t="str">
        <f>IFERROR(INDEX(Dim_Proyectos!$A:$A,MATCH(A273,Dim_Proyectos!$B:$B,0)),"")</f>
        <v>P010</v>
      </c>
      <c r="C273" s="40" t="s">
        <v>133</v>
      </c>
      <c r="D273" s="40" t="s">
        <v>192</v>
      </c>
      <c r="E273" s="41" t="s">
        <v>561</v>
      </c>
      <c r="F273" s="40"/>
      <c r="G273" s="40"/>
      <c r="H273" s="40"/>
      <c r="I273" s="40"/>
      <c r="J273" s="40"/>
      <c r="K273" s="40" t="s">
        <v>151</v>
      </c>
      <c r="L273" s="40"/>
      <c r="M273" s="40"/>
      <c r="N273" s="40"/>
    </row>
    <row r="274" spans="1:14" ht="15" customHeight="1">
      <c r="A274" s="50" t="s">
        <v>345</v>
      </c>
      <c r="B274" s="43" t="str">
        <f>IFERROR(INDEX(Dim_Proyectos!$A:$A,MATCH(A274,Dim_Proyectos!$B:$B,0)),"")</f>
        <v>P010</v>
      </c>
      <c r="C274" s="44" t="s">
        <v>133</v>
      </c>
      <c r="D274" s="44" t="s">
        <v>192</v>
      </c>
      <c r="E274" s="45" t="s">
        <v>562</v>
      </c>
      <c r="F274" s="44"/>
      <c r="G274" s="44"/>
      <c r="H274" s="44"/>
      <c r="I274" s="44"/>
      <c r="J274" s="44"/>
      <c r="K274" s="44" t="s">
        <v>151</v>
      </c>
      <c r="L274" s="44"/>
      <c r="M274" s="44"/>
      <c r="N274" s="44"/>
    </row>
    <row r="275" spans="1:14" ht="15" customHeight="1">
      <c r="A275" s="50" t="s">
        <v>345</v>
      </c>
      <c r="B275" s="39" t="str">
        <f>IFERROR(INDEX(Dim_Proyectos!$A:$A,MATCH(A275,Dim_Proyectos!$B:$B,0)),"")</f>
        <v>P010</v>
      </c>
      <c r="C275" s="40" t="s">
        <v>133</v>
      </c>
      <c r="D275" s="40" t="s">
        <v>192</v>
      </c>
      <c r="E275" s="41" t="s">
        <v>563</v>
      </c>
      <c r="F275" s="40"/>
      <c r="G275" s="40"/>
      <c r="H275" s="40"/>
      <c r="I275" s="40"/>
      <c r="J275" s="40"/>
      <c r="K275" s="40" t="s">
        <v>151</v>
      </c>
      <c r="L275" s="40"/>
      <c r="M275" s="40"/>
      <c r="N275" s="40"/>
    </row>
    <row r="276" spans="1:14" ht="15" customHeight="1">
      <c r="A276" s="50" t="s">
        <v>345</v>
      </c>
      <c r="B276" s="43" t="str">
        <f>IFERROR(INDEX(Dim_Proyectos!$A:$A,MATCH(A276,Dim_Proyectos!$B:$B,0)),"")</f>
        <v>P010</v>
      </c>
      <c r="C276" s="44" t="s">
        <v>133</v>
      </c>
      <c r="D276" s="44" t="s">
        <v>192</v>
      </c>
      <c r="E276" s="45" t="s">
        <v>564</v>
      </c>
      <c r="F276" s="44"/>
      <c r="G276" s="44"/>
      <c r="H276" s="44"/>
      <c r="I276" s="44"/>
      <c r="J276" s="44"/>
      <c r="K276" s="44" t="s">
        <v>151</v>
      </c>
      <c r="L276" s="44"/>
      <c r="M276" s="44"/>
      <c r="N276" s="44"/>
    </row>
    <row r="277" spans="1:14" ht="15" customHeight="1">
      <c r="A277" s="50" t="s">
        <v>345</v>
      </c>
      <c r="B277" s="39" t="str">
        <f>IFERROR(INDEX(Dim_Proyectos!$A:$A,MATCH(A277,Dim_Proyectos!$B:$B,0)),"")</f>
        <v>P010</v>
      </c>
      <c r="C277" s="40" t="s">
        <v>133</v>
      </c>
      <c r="D277" s="40" t="s">
        <v>192</v>
      </c>
      <c r="E277" s="41" t="s">
        <v>565</v>
      </c>
      <c r="F277" s="40"/>
      <c r="G277" s="40"/>
      <c r="H277" s="40"/>
      <c r="I277" s="40"/>
      <c r="J277" s="40"/>
      <c r="K277" s="40" t="s">
        <v>136</v>
      </c>
      <c r="L277" s="40"/>
      <c r="M277" s="40"/>
      <c r="N277" s="40"/>
    </row>
    <row r="278" spans="1:14" ht="15" customHeight="1">
      <c r="A278" s="50" t="s">
        <v>345</v>
      </c>
      <c r="B278" s="43" t="str">
        <f>IFERROR(INDEX(Dim_Proyectos!$A:$A,MATCH(A278,Dim_Proyectos!$B:$B,0)),"")</f>
        <v>P010</v>
      </c>
      <c r="C278" s="44" t="s">
        <v>133</v>
      </c>
      <c r="D278" s="44" t="s">
        <v>192</v>
      </c>
      <c r="E278" s="45" t="s">
        <v>566</v>
      </c>
      <c r="F278" s="44"/>
      <c r="G278" s="44"/>
      <c r="H278" s="44"/>
      <c r="I278" s="44"/>
      <c r="J278" s="44"/>
      <c r="K278" s="44" t="s">
        <v>151</v>
      </c>
      <c r="L278" s="44"/>
      <c r="M278" s="44"/>
      <c r="N278" s="44"/>
    </row>
    <row r="279" spans="1:14" ht="15" customHeight="1">
      <c r="A279" s="50" t="s">
        <v>345</v>
      </c>
      <c r="B279" s="39" t="str">
        <f>IFERROR(INDEX(Dim_Proyectos!$A:$A,MATCH(A279,Dim_Proyectos!$B:$B,0)),"")</f>
        <v>P010</v>
      </c>
      <c r="C279" s="40" t="s">
        <v>133</v>
      </c>
      <c r="D279" s="40" t="s">
        <v>192</v>
      </c>
      <c r="E279" s="41" t="s">
        <v>567</v>
      </c>
      <c r="F279" s="40"/>
      <c r="G279" s="40"/>
      <c r="H279" s="40"/>
      <c r="I279" s="40"/>
      <c r="J279" s="40"/>
      <c r="K279" s="40" t="s">
        <v>151</v>
      </c>
      <c r="L279" s="40"/>
      <c r="M279" s="40"/>
      <c r="N279" s="40"/>
    </row>
    <row r="280" spans="1:14" ht="15" customHeight="1">
      <c r="A280" s="50" t="s">
        <v>345</v>
      </c>
      <c r="B280" s="43" t="str">
        <f>IFERROR(INDEX(Dim_Proyectos!$A:$A,MATCH(A280,Dim_Proyectos!$B:$B,0)),"")</f>
        <v>P010</v>
      </c>
      <c r="C280" s="44" t="s">
        <v>133</v>
      </c>
      <c r="D280" s="44" t="s">
        <v>192</v>
      </c>
      <c r="E280" s="45" t="s">
        <v>568</v>
      </c>
      <c r="F280" s="44"/>
      <c r="G280" s="44"/>
      <c r="H280" s="44"/>
      <c r="I280" s="44"/>
      <c r="J280" s="44"/>
      <c r="K280" s="44" t="s">
        <v>151</v>
      </c>
      <c r="L280" s="44"/>
      <c r="M280" s="44"/>
      <c r="N280" s="44"/>
    </row>
    <row r="281" spans="1:14" ht="15" customHeight="1">
      <c r="A281" s="50" t="s">
        <v>345</v>
      </c>
      <c r="B281" s="39" t="str">
        <f>IFERROR(INDEX(Dim_Proyectos!$A:$A,MATCH(A281,Dim_Proyectos!$B:$B,0)),"")</f>
        <v>P010</v>
      </c>
      <c r="C281" s="40" t="s">
        <v>133</v>
      </c>
      <c r="D281" s="40" t="s">
        <v>192</v>
      </c>
      <c r="E281" s="41" t="s">
        <v>569</v>
      </c>
      <c r="F281" s="40"/>
      <c r="G281" s="40"/>
      <c r="H281" s="40"/>
      <c r="I281" s="40"/>
      <c r="J281" s="40"/>
      <c r="K281" s="40" t="s">
        <v>151</v>
      </c>
      <c r="L281" s="40"/>
      <c r="M281" s="40"/>
      <c r="N281" s="40"/>
    </row>
    <row r="282" spans="1:14" ht="15" customHeight="1">
      <c r="A282" s="50" t="s">
        <v>345</v>
      </c>
      <c r="B282" s="43" t="str">
        <f>IFERROR(INDEX(Dim_Proyectos!$A:$A,MATCH(A282,Dim_Proyectos!$B:$B,0)),"")</f>
        <v>P010</v>
      </c>
      <c r="C282" s="44" t="s">
        <v>133</v>
      </c>
      <c r="D282" s="44" t="s">
        <v>192</v>
      </c>
      <c r="E282" s="45" t="s">
        <v>570</v>
      </c>
      <c r="F282" s="44"/>
      <c r="G282" s="44"/>
      <c r="H282" s="44"/>
      <c r="I282" s="44"/>
      <c r="J282" s="44"/>
      <c r="K282" s="44" t="s">
        <v>151</v>
      </c>
      <c r="L282" s="44"/>
      <c r="M282" s="44"/>
      <c r="N282" s="44"/>
    </row>
    <row r="283" spans="1:14" ht="15" customHeight="1">
      <c r="A283" s="50" t="s">
        <v>345</v>
      </c>
      <c r="B283" s="39" t="str">
        <f>IFERROR(INDEX(Dim_Proyectos!$A:$A,MATCH(A283,Dim_Proyectos!$B:$B,0)),"")</f>
        <v>P010</v>
      </c>
      <c r="C283" s="40" t="s">
        <v>133</v>
      </c>
      <c r="D283" s="40" t="s">
        <v>192</v>
      </c>
      <c r="E283" s="41" t="s">
        <v>571</v>
      </c>
      <c r="F283" s="40"/>
      <c r="G283" s="40"/>
      <c r="H283" s="40"/>
      <c r="I283" s="40"/>
      <c r="J283" s="40"/>
      <c r="K283" s="40" t="s">
        <v>151</v>
      </c>
      <c r="L283" s="40"/>
      <c r="M283" s="40"/>
      <c r="N283" s="40"/>
    </row>
    <row r="284" spans="1:14" ht="15" customHeight="1">
      <c r="A284" s="50" t="s">
        <v>345</v>
      </c>
      <c r="B284" s="43" t="str">
        <f>IFERROR(INDEX(Dim_Proyectos!$A:$A,MATCH(A284,Dim_Proyectos!$B:$B,0)),"")</f>
        <v>P010</v>
      </c>
      <c r="C284" s="44" t="s">
        <v>133</v>
      </c>
      <c r="D284" s="44" t="s">
        <v>192</v>
      </c>
      <c r="E284" s="45" t="s">
        <v>572</v>
      </c>
      <c r="F284" s="44"/>
      <c r="G284" s="44"/>
      <c r="H284" s="44"/>
      <c r="I284" s="44"/>
      <c r="J284" s="44"/>
      <c r="K284" s="44" t="s">
        <v>151</v>
      </c>
      <c r="L284" s="44"/>
      <c r="M284" s="44"/>
      <c r="N284" s="44"/>
    </row>
    <row r="285" spans="1:14" ht="15" customHeight="1">
      <c r="A285" s="50" t="s">
        <v>345</v>
      </c>
      <c r="B285" s="39" t="str">
        <f>IFERROR(INDEX(Dim_Proyectos!$A:$A,MATCH(A285,Dim_Proyectos!$B:$B,0)),"")</f>
        <v>P010</v>
      </c>
      <c r="C285" s="40" t="s">
        <v>133</v>
      </c>
      <c r="D285" s="40" t="s">
        <v>192</v>
      </c>
      <c r="E285" s="41" t="s">
        <v>573</v>
      </c>
      <c r="F285" s="40"/>
      <c r="G285" s="40"/>
      <c r="H285" s="40"/>
      <c r="I285" s="40"/>
      <c r="J285" s="40"/>
      <c r="K285" s="40" t="s">
        <v>151</v>
      </c>
      <c r="L285" s="40"/>
      <c r="M285" s="40"/>
      <c r="N285" s="40"/>
    </row>
    <row r="286" spans="1:14" ht="15" customHeight="1">
      <c r="A286" s="50" t="s">
        <v>345</v>
      </c>
      <c r="B286" s="43" t="str">
        <f>IFERROR(INDEX(Dim_Proyectos!$A:$A,MATCH(A286,Dim_Proyectos!$B:$B,0)),"")</f>
        <v>P010</v>
      </c>
      <c r="C286" s="44" t="s">
        <v>133</v>
      </c>
      <c r="D286" s="44" t="s">
        <v>192</v>
      </c>
      <c r="E286" s="45" t="s">
        <v>574</v>
      </c>
      <c r="F286" s="44"/>
      <c r="G286" s="44"/>
      <c r="H286" s="44"/>
      <c r="I286" s="44"/>
      <c r="J286" s="44"/>
      <c r="K286" s="44" t="s">
        <v>151</v>
      </c>
      <c r="L286" s="44"/>
      <c r="M286" s="44"/>
      <c r="N286" s="44"/>
    </row>
    <row r="287" spans="1:14" ht="15" customHeight="1">
      <c r="A287" s="50" t="s">
        <v>345</v>
      </c>
      <c r="B287" s="39" t="str">
        <f>IFERROR(INDEX(Dim_Proyectos!$A:$A,MATCH(A287,Dim_Proyectos!$B:$B,0)),"")</f>
        <v>P010</v>
      </c>
      <c r="C287" s="40" t="s">
        <v>133</v>
      </c>
      <c r="D287" s="40" t="s">
        <v>192</v>
      </c>
      <c r="E287" s="41" t="s">
        <v>575</v>
      </c>
      <c r="F287" s="40"/>
      <c r="G287" s="40"/>
      <c r="H287" s="40"/>
      <c r="I287" s="40"/>
      <c r="J287" s="40"/>
      <c r="K287" s="40" t="s">
        <v>151</v>
      </c>
      <c r="L287" s="40"/>
      <c r="M287" s="40"/>
      <c r="N287" s="40"/>
    </row>
    <row r="288" spans="1:14" ht="15" customHeight="1">
      <c r="A288" s="50" t="s">
        <v>345</v>
      </c>
      <c r="B288" s="43" t="str">
        <f>IFERROR(INDEX(Dim_Proyectos!$A:$A,MATCH(A288,Dim_Proyectos!$B:$B,0)),"")</f>
        <v>P010</v>
      </c>
      <c r="C288" s="44" t="s">
        <v>133</v>
      </c>
      <c r="D288" s="44" t="s">
        <v>192</v>
      </c>
      <c r="E288" s="45" t="s">
        <v>576</v>
      </c>
      <c r="F288" s="44"/>
      <c r="G288" s="44"/>
      <c r="H288" s="44"/>
      <c r="I288" s="44"/>
      <c r="J288" s="44"/>
      <c r="K288" s="44" t="s">
        <v>151</v>
      </c>
      <c r="L288" s="44"/>
      <c r="M288" s="44"/>
      <c r="N288" s="44"/>
    </row>
    <row r="289" spans="1:14" ht="15" customHeight="1">
      <c r="A289" s="50" t="s">
        <v>345</v>
      </c>
      <c r="B289" s="39" t="str">
        <f>IFERROR(INDEX(Dim_Proyectos!$A:$A,MATCH(A289,Dim_Proyectos!$B:$B,0)),"")</f>
        <v>P010</v>
      </c>
      <c r="C289" s="40" t="s">
        <v>133</v>
      </c>
      <c r="D289" s="40" t="s">
        <v>192</v>
      </c>
      <c r="E289" s="41" t="s">
        <v>577</v>
      </c>
      <c r="F289" s="40"/>
      <c r="G289" s="40"/>
      <c r="H289" s="40"/>
      <c r="I289" s="40"/>
      <c r="J289" s="40"/>
      <c r="K289" s="40" t="s">
        <v>147</v>
      </c>
      <c r="L289" s="40"/>
      <c r="M289" s="40"/>
      <c r="N289" s="40"/>
    </row>
    <row r="290" spans="1:14" ht="15" customHeight="1">
      <c r="A290" s="50" t="s">
        <v>345</v>
      </c>
      <c r="B290" s="43" t="str">
        <f>IFERROR(INDEX(Dim_Proyectos!$A:$A,MATCH(A290,Dim_Proyectos!$B:$B,0)),"")</f>
        <v>P010</v>
      </c>
      <c r="C290" s="44" t="s">
        <v>133</v>
      </c>
      <c r="D290" s="44" t="s">
        <v>192</v>
      </c>
      <c r="E290" s="45" t="s">
        <v>578</v>
      </c>
      <c r="F290" s="44"/>
      <c r="G290" s="44"/>
      <c r="H290" s="44"/>
      <c r="I290" s="44"/>
      <c r="J290" s="44"/>
      <c r="K290" s="44" t="s">
        <v>136</v>
      </c>
      <c r="L290" s="44"/>
      <c r="M290" s="44"/>
      <c r="N290" s="44"/>
    </row>
    <row r="291" spans="1:14" ht="15" customHeight="1">
      <c r="A291" s="50" t="s">
        <v>345</v>
      </c>
      <c r="B291" s="39" t="str">
        <f>IFERROR(INDEX(Dim_Proyectos!$A:$A,MATCH(A291,Dim_Proyectos!$B:$B,0)),"")</f>
        <v>P010</v>
      </c>
      <c r="C291" s="40" t="s">
        <v>133</v>
      </c>
      <c r="D291" s="40" t="s">
        <v>192</v>
      </c>
      <c r="E291" s="41" t="s">
        <v>579</v>
      </c>
      <c r="F291" s="40"/>
      <c r="G291" s="40"/>
      <c r="H291" s="40"/>
      <c r="I291" s="40"/>
      <c r="J291" s="40"/>
      <c r="K291" s="40" t="s">
        <v>136</v>
      </c>
      <c r="L291" s="40"/>
      <c r="M291" s="40"/>
      <c r="N291" s="40"/>
    </row>
    <row r="292" spans="1:14" ht="15" customHeight="1">
      <c r="A292" s="50" t="s">
        <v>345</v>
      </c>
      <c r="B292" s="43" t="str">
        <f>IFERROR(INDEX(Dim_Proyectos!$A:$A,MATCH(A292,Dim_Proyectos!$B:$B,0)),"")</f>
        <v>P010</v>
      </c>
      <c r="C292" s="44" t="s">
        <v>133</v>
      </c>
      <c r="D292" s="44" t="s">
        <v>192</v>
      </c>
      <c r="E292" s="45" t="s">
        <v>580</v>
      </c>
      <c r="F292" s="44"/>
      <c r="G292" s="44"/>
      <c r="H292" s="44"/>
      <c r="I292" s="44"/>
      <c r="J292" s="44"/>
      <c r="K292" s="44" t="s">
        <v>136</v>
      </c>
      <c r="L292" s="44"/>
      <c r="M292" s="44"/>
      <c r="N292" s="44"/>
    </row>
    <row r="293" spans="1:14" ht="15" customHeight="1">
      <c r="A293" s="50" t="s">
        <v>345</v>
      </c>
      <c r="B293" s="39" t="str">
        <f>IFERROR(INDEX(Dim_Proyectos!$A:$A,MATCH(A293,Dim_Proyectos!$B:$B,0)),"")</f>
        <v>P010</v>
      </c>
      <c r="C293" s="40" t="s">
        <v>133</v>
      </c>
      <c r="D293" s="40" t="s">
        <v>192</v>
      </c>
      <c r="E293" s="41" t="s">
        <v>581</v>
      </c>
      <c r="F293" s="40"/>
      <c r="G293" s="40"/>
      <c r="H293" s="40"/>
      <c r="I293" s="40"/>
      <c r="J293" s="40"/>
      <c r="K293" s="40" t="s">
        <v>151</v>
      </c>
      <c r="L293" s="40"/>
      <c r="M293" s="40"/>
      <c r="N293" s="40"/>
    </row>
    <row r="294" spans="1:14" ht="15" customHeight="1">
      <c r="A294" s="50" t="s">
        <v>345</v>
      </c>
      <c r="B294" s="43" t="str">
        <f>IFERROR(INDEX(Dim_Proyectos!$A:$A,MATCH(A294,Dim_Proyectos!$B:$B,0)),"")</f>
        <v>P010</v>
      </c>
      <c r="C294" s="44" t="s">
        <v>133</v>
      </c>
      <c r="D294" s="44" t="s">
        <v>192</v>
      </c>
      <c r="E294" s="45" t="s">
        <v>582</v>
      </c>
      <c r="F294" s="44"/>
      <c r="G294" s="44"/>
      <c r="H294" s="44"/>
      <c r="I294" s="44"/>
      <c r="J294" s="44"/>
      <c r="K294" s="44" t="s">
        <v>136</v>
      </c>
      <c r="L294" s="44"/>
      <c r="M294" s="44"/>
      <c r="N294" s="44"/>
    </row>
    <row r="295" spans="1:14" ht="15" customHeight="1">
      <c r="A295" s="50" t="s">
        <v>345</v>
      </c>
      <c r="B295" s="39" t="str">
        <f>IFERROR(INDEX(Dim_Proyectos!$A:$A,MATCH(A295,Dim_Proyectos!$B:$B,0)),"")</f>
        <v>P010</v>
      </c>
      <c r="C295" s="40" t="s">
        <v>133</v>
      </c>
      <c r="D295" s="40" t="s">
        <v>192</v>
      </c>
      <c r="E295" s="41" t="s">
        <v>582</v>
      </c>
      <c r="F295" s="40"/>
      <c r="G295" s="40"/>
      <c r="H295" s="40"/>
      <c r="I295" s="40"/>
      <c r="J295" s="40"/>
      <c r="K295" s="40" t="s">
        <v>147</v>
      </c>
      <c r="L295" s="40"/>
      <c r="M295" s="40"/>
      <c r="N295" s="40"/>
    </row>
    <row r="296" spans="1:14" ht="15" customHeight="1">
      <c r="A296" s="50" t="s">
        <v>345</v>
      </c>
      <c r="B296" s="43" t="str">
        <f>IFERROR(INDEX(Dim_Proyectos!$A:$A,MATCH(A296,Dim_Proyectos!$B:$B,0)),"")</f>
        <v>P010</v>
      </c>
      <c r="C296" s="44" t="s">
        <v>133</v>
      </c>
      <c r="D296" s="44" t="s">
        <v>192</v>
      </c>
      <c r="E296" s="45" t="s">
        <v>583</v>
      </c>
      <c r="F296" s="44"/>
      <c r="G296" s="44"/>
      <c r="H296" s="44"/>
      <c r="I296" s="44"/>
      <c r="J296" s="44"/>
      <c r="K296" s="44" t="s">
        <v>147</v>
      </c>
      <c r="L296" s="44"/>
      <c r="M296" s="44"/>
      <c r="N296" s="44"/>
    </row>
    <row r="297" spans="1:14" ht="15" customHeight="1">
      <c r="A297" s="50" t="s">
        <v>345</v>
      </c>
      <c r="B297" s="39" t="str">
        <f>IFERROR(INDEX(Dim_Proyectos!$A:$A,MATCH(A297,Dim_Proyectos!$B:$B,0)),"")</f>
        <v>P010</v>
      </c>
      <c r="C297" s="40" t="s">
        <v>133</v>
      </c>
      <c r="D297" s="40" t="s">
        <v>192</v>
      </c>
      <c r="E297" s="41" t="s">
        <v>584</v>
      </c>
      <c r="F297" s="40"/>
      <c r="G297" s="40"/>
      <c r="H297" s="40"/>
      <c r="I297" s="40"/>
      <c r="J297" s="40"/>
      <c r="K297" s="40" t="s">
        <v>136</v>
      </c>
      <c r="L297" s="40"/>
      <c r="M297" s="40"/>
      <c r="N297" s="40"/>
    </row>
    <row r="298" spans="1:14" ht="15" customHeight="1">
      <c r="A298" s="50" t="s">
        <v>345</v>
      </c>
      <c r="B298" s="43" t="str">
        <f>IFERROR(INDEX(Dim_Proyectos!$A:$A,MATCH(A298,Dim_Proyectos!$B:$B,0)),"")</f>
        <v>P010</v>
      </c>
      <c r="C298" s="44" t="s">
        <v>133</v>
      </c>
      <c r="D298" s="44" t="s">
        <v>192</v>
      </c>
      <c r="E298" s="45" t="s">
        <v>585</v>
      </c>
      <c r="F298" s="44"/>
      <c r="G298" s="44"/>
      <c r="H298" s="44"/>
      <c r="I298" s="44"/>
      <c r="J298" s="44"/>
      <c r="K298" s="44" t="s">
        <v>136</v>
      </c>
      <c r="L298" s="44"/>
      <c r="M298" s="44"/>
      <c r="N298" s="44"/>
    </row>
    <row r="299" spans="1:14" ht="15" customHeight="1">
      <c r="A299" s="50" t="s">
        <v>345</v>
      </c>
      <c r="B299" s="39" t="str">
        <f>IFERROR(INDEX(Dim_Proyectos!$A:$A,MATCH(A299,Dim_Proyectos!$B:$B,0)),"")</f>
        <v>P010</v>
      </c>
      <c r="C299" s="40" t="s">
        <v>133</v>
      </c>
      <c r="D299" s="40" t="s">
        <v>192</v>
      </c>
      <c r="E299" s="41" t="s">
        <v>586</v>
      </c>
      <c r="F299" s="40"/>
      <c r="G299" s="40"/>
      <c r="H299" s="40"/>
      <c r="I299" s="40"/>
      <c r="J299" s="40"/>
      <c r="K299" s="40" t="s">
        <v>136</v>
      </c>
      <c r="L299" s="40"/>
      <c r="M299" s="40"/>
      <c r="N299" s="40"/>
    </row>
    <row r="300" spans="1:14" ht="15" customHeight="1">
      <c r="A300" s="50" t="s">
        <v>345</v>
      </c>
      <c r="B300" s="43" t="str">
        <f>IFERROR(INDEX(Dim_Proyectos!$A:$A,MATCH(A300,Dim_Proyectos!$B:$B,0)),"")</f>
        <v>P010</v>
      </c>
      <c r="C300" s="44" t="s">
        <v>133</v>
      </c>
      <c r="D300" s="44" t="s">
        <v>192</v>
      </c>
      <c r="E300" s="45" t="s">
        <v>587</v>
      </c>
      <c r="F300" s="44"/>
      <c r="G300" s="44"/>
      <c r="H300" s="44"/>
      <c r="I300" s="44"/>
      <c r="J300" s="44"/>
      <c r="K300" s="44" t="s">
        <v>151</v>
      </c>
      <c r="L300" s="44"/>
      <c r="M300" s="44"/>
      <c r="N300" s="44"/>
    </row>
    <row r="301" spans="1:14" ht="15" customHeight="1">
      <c r="A301" s="50" t="s">
        <v>345</v>
      </c>
      <c r="B301" s="39" t="str">
        <f>IFERROR(INDEX(Dim_Proyectos!$A:$A,MATCH(A301,Dim_Proyectos!$B:$B,0)),"")</f>
        <v>P010</v>
      </c>
      <c r="C301" s="40" t="s">
        <v>133</v>
      </c>
      <c r="D301" s="40" t="s">
        <v>192</v>
      </c>
      <c r="E301" s="41" t="s">
        <v>588</v>
      </c>
      <c r="F301" s="40"/>
      <c r="G301" s="40"/>
      <c r="H301" s="40"/>
      <c r="I301" s="40"/>
      <c r="J301" s="40"/>
      <c r="K301" s="40" t="s">
        <v>136</v>
      </c>
      <c r="L301" s="40"/>
      <c r="M301" s="40"/>
      <c r="N301" s="40"/>
    </row>
    <row r="302" spans="1:14" ht="15" customHeight="1">
      <c r="A302" s="50" t="s">
        <v>345</v>
      </c>
      <c r="B302" s="43" t="str">
        <f>IFERROR(INDEX(Dim_Proyectos!$A:$A,MATCH(A302,Dim_Proyectos!$B:$B,0)),"")</f>
        <v>P010</v>
      </c>
      <c r="C302" s="44" t="s">
        <v>133</v>
      </c>
      <c r="D302" s="44" t="s">
        <v>192</v>
      </c>
      <c r="E302" s="45" t="s">
        <v>589</v>
      </c>
      <c r="F302" s="44"/>
      <c r="G302" s="44"/>
      <c r="H302" s="44"/>
      <c r="I302" s="44"/>
      <c r="J302" s="44"/>
      <c r="K302" s="44" t="s">
        <v>151</v>
      </c>
      <c r="L302" s="44"/>
      <c r="M302" s="44"/>
      <c r="N302" s="44"/>
    </row>
    <row r="303" spans="1:14" ht="15" customHeight="1">
      <c r="A303" s="50" t="s">
        <v>345</v>
      </c>
      <c r="B303" s="39" t="str">
        <f>IFERROR(INDEX(Dim_Proyectos!$A:$A,MATCH(A303,Dim_Proyectos!$B:$B,0)),"")</f>
        <v>P010</v>
      </c>
      <c r="C303" s="40" t="s">
        <v>133</v>
      </c>
      <c r="D303" s="40" t="s">
        <v>192</v>
      </c>
      <c r="E303" s="41" t="s">
        <v>590</v>
      </c>
      <c r="F303" s="40"/>
      <c r="G303" s="40"/>
      <c r="H303" s="40"/>
      <c r="I303" s="40"/>
      <c r="J303" s="40"/>
      <c r="K303" s="40" t="s">
        <v>136</v>
      </c>
      <c r="L303" s="40"/>
      <c r="M303" s="40"/>
      <c r="N303" s="40"/>
    </row>
    <row r="304" spans="1:14" ht="20.25" customHeight="1">
      <c r="A304" s="50" t="s">
        <v>345</v>
      </c>
      <c r="B304" s="43" t="str">
        <f>IFERROR(INDEX(Dim_Proyectos!$A:$A,MATCH(A304,Dim_Proyectos!$B:$B,0)),"")</f>
        <v>P010</v>
      </c>
      <c r="C304" s="44" t="s">
        <v>133</v>
      </c>
      <c r="D304" s="44" t="s">
        <v>192</v>
      </c>
      <c r="E304" s="45" t="s">
        <v>591</v>
      </c>
      <c r="F304" s="44"/>
      <c r="G304" s="44"/>
      <c r="H304" s="44"/>
      <c r="I304" s="44"/>
      <c r="J304" s="44"/>
      <c r="K304" s="44" t="s">
        <v>151</v>
      </c>
      <c r="L304" s="44"/>
      <c r="M304" s="44"/>
      <c r="N304" s="44"/>
    </row>
    <row r="305" spans="1:14" ht="15" customHeight="1">
      <c r="A305" s="50" t="s">
        <v>345</v>
      </c>
      <c r="B305" s="39" t="str">
        <f>IFERROR(INDEX(Dim_Proyectos!$A:$A,MATCH(A305,Dim_Proyectos!$B:$B,0)),"")</f>
        <v>P010</v>
      </c>
      <c r="C305" s="40" t="s">
        <v>133</v>
      </c>
      <c r="D305" s="40" t="s">
        <v>192</v>
      </c>
      <c r="E305" s="41" t="s">
        <v>592</v>
      </c>
      <c r="F305" s="40"/>
      <c r="G305" s="40"/>
      <c r="H305" s="40"/>
      <c r="I305" s="40"/>
      <c r="J305" s="40"/>
      <c r="K305" s="40" t="s">
        <v>136</v>
      </c>
      <c r="L305" s="40"/>
      <c r="M305" s="40"/>
      <c r="N305" s="40"/>
    </row>
    <row r="306" spans="1:14" ht="15" customHeight="1">
      <c r="A306" s="50" t="s">
        <v>345</v>
      </c>
      <c r="B306" s="43" t="str">
        <f>IFERROR(INDEX(Dim_Proyectos!$A:$A,MATCH(A306,Dim_Proyectos!$B:$B,0)),"")</f>
        <v>P010</v>
      </c>
      <c r="C306" s="44" t="s">
        <v>133</v>
      </c>
      <c r="D306" s="44" t="s">
        <v>192</v>
      </c>
      <c r="E306" s="45" t="s">
        <v>420</v>
      </c>
      <c r="F306" s="44"/>
      <c r="G306" s="44"/>
      <c r="H306" s="44"/>
      <c r="I306" s="44"/>
      <c r="J306" s="44"/>
      <c r="K306" s="44" t="s">
        <v>151</v>
      </c>
      <c r="L306" s="44"/>
      <c r="M306" s="44"/>
      <c r="N306" s="44"/>
    </row>
    <row r="307" spans="1:14" ht="15" customHeight="1">
      <c r="A307" s="50" t="s">
        <v>345</v>
      </c>
      <c r="B307" s="39" t="str">
        <f>IFERROR(INDEX(Dim_Proyectos!$A:$A,MATCH(A307,Dim_Proyectos!$B:$B,0)),"")</f>
        <v>P010</v>
      </c>
      <c r="C307" s="40" t="s">
        <v>133</v>
      </c>
      <c r="D307" s="40" t="s">
        <v>192</v>
      </c>
      <c r="E307" s="41" t="s">
        <v>593</v>
      </c>
      <c r="F307" s="40"/>
      <c r="G307" s="40"/>
      <c r="H307" s="40"/>
      <c r="I307" s="40"/>
      <c r="J307" s="40"/>
      <c r="K307" s="40" t="s">
        <v>151</v>
      </c>
      <c r="L307" s="40"/>
      <c r="M307" s="40"/>
      <c r="N307" s="40"/>
    </row>
    <row r="308" spans="1:14" ht="15" customHeight="1">
      <c r="A308" s="50" t="s">
        <v>345</v>
      </c>
      <c r="B308" s="43" t="str">
        <f>IFERROR(INDEX(Dim_Proyectos!$A:$A,MATCH(A308,Dim_Proyectos!$B:$B,0)),"")</f>
        <v>P010</v>
      </c>
      <c r="C308" s="44" t="s">
        <v>133</v>
      </c>
      <c r="D308" s="44" t="s">
        <v>192</v>
      </c>
      <c r="E308" s="45" t="s">
        <v>594</v>
      </c>
      <c r="F308" s="44"/>
      <c r="G308" s="44"/>
      <c r="H308" s="44"/>
      <c r="I308" s="44"/>
      <c r="J308" s="44"/>
      <c r="K308" s="44" t="s">
        <v>136</v>
      </c>
      <c r="L308" s="44"/>
      <c r="M308" s="44"/>
      <c r="N308" s="44"/>
    </row>
    <row r="309" spans="1:14" ht="15" customHeight="1">
      <c r="A309" s="50" t="s">
        <v>345</v>
      </c>
      <c r="B309" s="39" t="str">
        <f>IFERROR(INDEX(Dim_Proyectos!$A:$A,MATCH(A309,Dim_Proyectos!$B:$B,0)),"")</f>
        <v>P010</v>
      </c>
      <c r="C309" s="40" t="s">
        <v>133</v>
      </c>
      <c r="D309" s="40" t="s">
        <v>192</v>
      </c>
      <c r="E309" s="41" t="s">
        <v>595</v>
      </c>
      <c r="F309" s="40"/>
      <c r="G309" s="40"/>
      <c r="H309" s="40"/>
      <c r="I309" s="40"/>
      <c r="J309" s="40"/>
      <c r="K309" s="40" t="s">
        <v>147</v>
      </c>
      <c r="L309" s="40"/>
      <c r="M309" s="40"/>
      <c r="N309" s="40"/>
    </row>
    <row r="310" spans="1:14" ht="15" customHeight="1">
      <c r="A310" s="50" t="s">
        <v>345</v>
      </c>
      <c r="B310" s="43" t="str">
        <f>IFERROR(INDEX(Dim_Proyectos!$A:$A,MATCH(A310,Dim_Proyectos!$B:$B,0)),"")</f>
        <v>P010</v>
      </c>
      <c r="C310" s="44" t="s">
        <v>133</v>
      </c>
      <c r="D310" s="44" t="s">
        <v>192</v>
      </c>
      <c r="E310" s="45" t="s">
        <v>590</v>
      </c>
      <c r="F310" s="44"/>
      <c r="G310" s="44"/>
      <c r="H310" s="44"/>
      <c r="I310" s="44"/>
      <c r="J310" s="44"/>
      <c r="K310" s="44" t="s">
        <v>136</v>
      </c>
      <c r="L310" s="44"/>
      <c r="M310" s="44"/>
      <c r="N310" s="44"/>
    </row>
    <row r="311" spans="1:14" ht="15" customHeight="1">
      <c r="A311" s="50" t="s">
        <v>345</v>
      </c>
      <c r="B311" s="39" t="str">
        <f>IFERROR(INDEX(Dim_Proyectos!$A:$A,MATCH(A311,Dim_Proyectos!$B:$B,0)),"")</f>
        <v>P010</v>
      </c>
      <c r="C311" s="40" t="s">
        <v>133</v>
      </c>
      <c r="D311" s="40" t="s">
        <v>192</v>
      </c>
      <c r="E311" s="41" t="s">
        <v>587</v>
      </c>
      <c r="F311" s="40"/>
      <c r="G311" s="40"/>
      <c r="H311" s="40"/>
      <c r="I311" s="40"/>
      <c r="J311" s="40"/>
      <c r="K311" s="40" t="s">
        <v>151</v>
      </c>
      <c r="L311" s="40"/>
      <c r="M311" s="40"/>
      <c r="N311" s="40"/>
    </row>
    <row r="312" spans="1:14" ht="15" customHeight="1">
      <c r="A312" s="50" t="s">
        <v>345</v>
      </c>
      <c r="B312" s="43" t="str">
        <f>IFERROR(INDEX(Dim_Proyectos!$A:$A,MATCH(A312,Dim_Proyectos!$B:$B,0)),"")</f>
        <v>P010</v>
      </c>
      <c r="C312" s="44" t="s">
        <v>133</v>
      </c>
      <c r="D312" s="44" t="s">
        <v>192</v>
      </c>
      <c r="E312" s="45" t="s">
        <v>588</v>
      </c>
      <c r="F312" s="44"/>
      <c r="G312" s="44"/>
      <c r="H312" s="44"/>
      <c r="I312" s="44"/>
      <c r="J312" s="44"/>
      <c r="K312" s="44" t="s">
        <v>136</v>
      </c>
      <c r="L312" s="44"/>
      <c r="M312" s="44"/>
      <c r="N312" s="44"/>
    </row>
    <row r="313" spans="1:14" ht="15" customHeight="1">
      <c r="A313" s="50" t="s">
        <v>345</v>
      </c>
      <c r="B313" s="39" t="str">
        <f>IFERROR(INDEX(Dim_Proyectos!$A:$A,MATCH(A313,Dim_Proyectos!$B:$B,0)),"")</f>
        <v>P010</v>
      </c>
      <c r="C313" s="40" t="s">
        <v>133</v>
      </c>
      <c r="D313" s="40" t="s">
        <v>192</v>
      </c>
      <c r="E313" s="41" t="s">
        <v>589</v>
      </c>
      <c r="F313" s="40"/>
      <c r="G313" s="40"/>
      <c r="H313" s="40"/>
      <c r="I313" s="40"/>
      <c r="J313" s="40"/>
      <c r="K313" s="40" t="s">
        <v>136</v>
      </c>
      <c r="L313" s="40"/>
      <c r="M313" s="40"/>
      <c r="N313" s="40"/>
    </row>
    <row r="314" spans="1:14" ht="15" customHeight="1">
      <c r="A314" s="50" t="s">
        <v>345</v>
      </c>
      <c r="B314" s="43" t="str">
        <f>IFERROR(INDEX(Dim_Proyectos!$A:$A,MATCH(A314,Dim_Proyectos!$B:$B,0)),"")</f>
        <v>P010</v>
      </c>
      <c r="C314" s="44" t="s">
        <v>133</v>
      </c>
      <c r="D314" s="44" t="s">
        <v>192</v>
      </c>
      <c r="E314" s="45" t="s">
        <v>586</v>
      </c>
      <c r="F314" s="44"/>
      <c r="G314" s="44"/>
      <c r="H314" s="44"/>
      <c r="I314" s="44"/>
      <c r="J314" s="44"/>
      <c r="K314" s="44" t="s">
        <v>151</v>
      </c>
      <c r="L314" s="44"/>
      <c r="M314" s="44"/>
      <c r="N314" s="44"/>
    </row>
    <row r="315" spans="1:14" ht="15" customHeight="1">
      <c r="A315" s="50" t="s">
        <v>345</v>
      </c>
      <c r="B315" s="39" t="str">
        <f>IFERROR(INDEX(Dim_Proyectos!$A:$A,MATCH(A315,Dim_Proyectos!$B:$B,0)),"")</f>
        <v>P010</v>
      </c>
      <c r="C315" s="40" t="s">
        <v>133</v>
      </c>
      <c r="D315" s="40" t="s">
        <v>192</v>
      </c>
      <c r="E315" s="41" t="s">
        <v>596</v>
      </c>
      <c r="F315" s="40"/>
      <c r="G315" s="40"/>
      <c r="H315" s="40"/>
      <c r="I315" s="40"/>
      <c r="J315" s="40"/>
      <c r="K315" s="40" t="s">
        <v>151</v>
      </c>
      <c r="L315" s="40"/>
      <c r="M315" s="40"/>
      <c r="N315" s="40"/>
    </row>
    <row r="316" spans="1:14" ht="15" customHeight="1">
      <c r="A316" s="50" t="s">
        <v>345</v>
      </c>
      <c r="B316" s="43" t="str">
        <f>IFERROR(INDEX(Dim_Proyectos!$A:$A,MATCH(A316,Dim_Proyectos!$B:$B,0)),"")</f>
        <v>P010</v>
      </c>
      <c r="C316" s="44" t="s">
        <v>133</v>
      </c>
      <c r="D316" s="44" t="s">
        <v>192</v>
      </c>
      <c r="E316" s="45" t="s">
        <v>597</v>
      </c>
      <c r="F316" s="44"/>
      <c r="G316" s="44"/>
      <c r="H316" s="44"/>
      <c r="I316" s="44"/>
      <c r="J316" s="44"/>
      <c r="K316" s="44" t="s">
        <v>136</v>
      </c>
      <c r="L316" s="44"/>
      <c r="M316" s="44"/>
      <c r="N316" s="44"/>
    </row>
    <row r="317" spans="1:14" ht="20.25" customHeight="1">
      <c r="A317" s="50" t="s">
        <v>345</v>
      </c>
      <c r="B317" s="39" t="str">
        <f>IFERROR(INDEX(Dim_Proyectos!$A:$A,MATCH(A317,Dim_Proyectos!$B:$B,0)),"")</f>
        <v>P010</v>
      </c>
      <c r="C317" s="40" t="s">
        <v>133</v>
      </c>
      <c r="D317" s="40" t="s">
        <v>192</v>
      </c>
      <c r="E317" s="41" t="s">
        <v>598</v>
      </c>
      <c r="F317" s="40"/>
      <c r="G317" s="40"/>
      <c r="H317" s="40"/>
      <c r="I317" s="40"/>
      <c r="J317" s="40"/>
      <c r="K317" s="40" t="s">
        <v>136</v>
      </c>
      <c r="L317" s="40"/>
      <c r="M317" s="40"/>
      <c r="N317" s="40"/>
    </row>
    <row r="318" spans="1:14" ht="15" customHeight="1">
      <c r="A318" s="50" t="s">
        <v>345</v>
      </c>
      <c r="B318" s="43" t="str">
        <f>IFERROR(INDEX(Dim_Proyectos!$A:$A,MATCH(A318,Dim_Proyectos!$B:$B,0)),"")</f>
        <v>P010</v>
      </c>
      <c r="C318" s="44" t="s">
        <v>133</v>
      </c>
      <c r="D318" s="44" t="s">
        <v>192</v>
      </c>
      <c r="E318" s="45" t="s">
        <v>599</v>
      </c>
      <c r="F318" s="44"/>
      <c r="G318" s="44"/>
      <c r="H318" s="44"/>
      <c r="I318" s="44"/>
      <c r="J318" s="44"/>
      <c r="K318" s="44" t="s">
        <v>136</v>
      </c>
      <c r="L318" s="44"/>
      <c r="M318" s="44"/>
      <c r="N318" s="44"/>
    </row>
    <row r="319" spans="1:14" ht="20.25" customHeight="1">
      <c r="A319" s="50" t="s">
        <v>345</v>
      </c>
      <c r="B319" s="39" t="str">
        <f>IFERROR(INDEX(Dim_Proyectos!$A:$A,MATCH(A319,Dim_Proyectos!$B:$B,0)),"")</f>
        <v>P010</v>
      </c>
      <c r="C319" s="40" t="s">
        <v>133</v>
      </c>
      <c r="D319" s="40" t="s">
        <v>192</v>
      </c>
      <c r="E319" s="41" t="s">
        <v>600</v>
      </c>
      <c r="F319" s="40"/>
      <c r="G319" s="40"/>
      <c r="H319" s="40"/>
      <c r="I319" s="40"/>
      <c r="J319" s="40"/>
      <c r="K319" s="40" t="s">
        <v>136</v>
      </c>
      <c r="L319" s="40"/>
      <c r="M319" s="40"/>
      <c r="N319" s="40"/>
    </row>
    <row r="320" spans="1:14" ht="15" customHeight="1">
      <c r="A320" s="50" t="s">
        <v>345</v>
      </c>
      <c r="B320" s="43" t="str">
        <f>IFERROR(INDEX(Dim_Proyectos!$A:$A,MATCH(A320,Dim_Proyectos!$B:$B,0)),"")</f>
        <v>P010</v>
      </c>
      <c r="C320" s="44" t="s">
        <v>133</v>
      </c>
      <c r="D320" s="44" t="s">
        <v>192</v>
      </c>
      <c r="E320" s="45" t="s">
        <v>601</v>
      </c>
      <c r="F320" s="44"/>
      <c r="G320" s="44"/>
      <c r="H320" s="44"/>
      <c r="I320" s="44"/>
      <c r="J320" s="44"/>
      <c r="K320" s="44" t="s">
        <v>136</v>
      </c>
      <c r="L320" s="44"/>
      <c r="M320" s="44"/>
      <c r="N320" s="44"/>
    </row>
    <row r="321" spans="1:14" ht="15" customHeight="1">
      <c r="A321" s="50" t="s">
        <v>345</v>
      </c>
      <c r="B321" s="39" t="str">
        <f>IFERROR(INDEX(Dim_Proyectos!$A:$A,MATCH(A321,Dim_Proyectos!$B:$B,0)),"")</f>
        <v>P010</v>
      </c>
      <c r="C321" s="40" t="s">
        <v>133</v>
      </c>
      <c r="D321" s="40" t="s">
        <v>192</v>
      </c>
      <c r="E321" s="41" t="s">
        <v>602</v>
      </c>
      <c r="F321" s="40"/>
      <c r="G321" s="40"/>
      <c r="H321" s="40"/>
      <c r="I321" s="40"/>
      <c r="J321" s="40"/>
      <c r="K321" s="40" t="s">
        <v>151</v>
      </c>
      <c r="L321" s="40"/>
      <c r="M321" s="40"/>
      <c r="N321" s="40"/>
    </row>
    <row r="322" spans="1:14" ht="15" customHeight="1">
      <c r="A322" s="50" t="s">
        <v>345</v>
      </c>
      <c r="B322" s="43" t="str">
        <f>IFERROR(INDEX(Dim_Proyectos!$A:$A,MATCH(A322,Dim_Proyectos!$B:$B,0)),"")</f>
        <v>P010</v>
      </c>
      <c r="C322" s="44" t="s">
        <v>133</v>
      </c>
      <c r="D322" s="44" t="s">
        <v>192</v>
      </c>
      <c r="E322" s="45" t="s">
        <v>603</v>
      </c>
      <c r="F322" s="44"/>
      <c r="G322" s="44"/>
      <c r="H322" s="44"/>
      <c r="I322" s="44"/>
      <c r="J322" s="44"/>
      <c r="K322" s="44" t="s">
        <v>136</v>
      </c>
      <c r="L322" s="44"/>
      <c r="M322" s="44"/>
      <c r="N322" s="44"/>
    </row>
    <row r="323" spans="1:14" ht="15" customHeight="1">
      <c r="A323" s="50" t="s">
        <v>345</v>
      </c>
      <c r="B323" s="39" t="str">
        <f>IFERROR(INDEX(Dim_Proyectos!$A:$A,MATCH(A323,Dim_Proyectos!$B:$B,0)),"")</f>
        <v>P010</v>
      </c>
      <c r="C323" s="40" t="s">
        <v>133</v>
      </c>
      <c r="D323" s="40" t="s">
        <v>192</v>
      </c>
      <c r="E323" s="41" t="s">
        <v>604</v>
      </c>
      <c r="F323" s="40"/>
      <c r="G323" s="40"/>
      <c r="H323" s="40"/>
      <c r="I323" s="40"/>
      <c r="J323" s="40"/>
      <c r="K323" s="40" t="s">
        <v>151</v>
      </c>
      <c r="L323" s="40"/>
      <c r="M323" s="40"/>
      <c r="N323" s="40"/>
    </row>
    <row r="324" spans="1:14" ht="15" customHeight="1">
      <c r="A324" s="50" t="s">
        <v>345</v>
      </c>
      <c r="B324" s="43" t="str">
        <f>IFERROR(INDEX(Dim_Proyectos!$A:$A,MATCH(A324,Dim_Proyectos!$B:$B,0)),"")</f>
        <v>P010</v>
      </c>
      <c r="C324" s="44" t="s">
        <v>133</v>
      </c>
      <c r="D324" s="44" t="s">
        <v>192</v>
      </c>
      <c r="E324" s="45" t="s">
        <v>605</v>
      </c>
      <c r="F324" s="44"/>
      <c r="G324" s="44"/>
      <c r="H324" s="44"/>
      <c r="I324" s="44"/>
      <c r="J324" s="44"/>
      <c r="K324" s="44" t="s">
        <v>151</v>
      </c>
      <c r="L324" s="44"/>
      <c r="M324" s="44"/>
      <c r="N324" s="44"/>
    </row>
    <row r="325" spans="1:14" ht="15" customHeight="1">
      <c r="A325" s="50" t="s">
        <v>345</v>
      </c>
      <c r="B325" s="39" t="str">
        <f>IFERROR(INDEX(Dim_Proyectos!$A:$A,MATCH(A325,Dim_Proyectos!$B:$B,0)),"")</f>
        <v>P010</v>
      </c>
      <c r="C325" s="40" t="s">
        <v>133</v>
      </c>
      <c r="D325" s="40" t="s">
        <v>192</v>
      </c>
      <c r="E325" s="41" t="s">
        <v>606</v>
      </c>
      <c r="F325" s="40"/>
      <c r="G325" s="40"/>
      <c r="H325" s="40"/>
      <c r="I325" s="40"/>
      <c r="J325" s="40"/>
      <c r="K325" s="40" t="s">
        <v>151</v>
      </c>
      <c r="L325" s="40"/>
      <c r="M325" s="40"/>
      <c r="N325" s="40"/>
    </row>
    <row r="326" spans="1:14" ht="20.25" customHeight="1">
      <c r="A326" s="50" t="s">
        <v>345</v>
      </c>
      <c r="B326" s="43" t="str">
        <f>IFERROR(INDEX(Dim_Proyectos!$A:$A,MATCH(A326,Dim_Proyectos!$B:$B,0)),"")</f>
        <v>P010</v>
      </c>
      <c r="C326" s="44" t="s">
        <v>133</v>
      </c>
      <c r="D326" s="44" t="s">
        <v>192</v>
      </c>
      <c r="E326" s="45" t="s">
        <v>607</v>
      </c>
      <c r="F326" s="44"/>
      <c r="G326" s="44"/>
      <c r="H326" s="44"/>
      <c r="I326" s="44"/>
      <c r="J326" s="44"/>
      <c r="K326" s="44" t="s">
        <v>136</v>
      </c>
      <c r="L326" s="44"/>
      <c r="M326" s="44"/>
      <c r="N326" s="44"/>
    </row>
    <row r="327" spans="1:14" ht="15" customHeight="1">
      <c r="A327" s="50" t="s">
        <v>345</v>
      </c>
      <c r="B327" s="39" t="str">
        <f>IFERROR(INDEX(Dim_Proyectos!$A:$A,MATCH(A327,Dim_Proyectos!$B:$B,0)),"")</f>
        <v>P010</v>
      </c>
      <c r="C327" s="40" t="s">
        <v>133</v>
      </c>
      <c r="D327" s="40" t="s">
        <v>192</v>
      </c>
      <c r="E327" s="41" t="s">
        <v>608</v>
      </c>
      <c r="F327" s="40"/>
      <c r="G327" s="40"/>
      <c r="H327" s="40"/>
      <c r="I327" s="40"/>
      <c r="J327" s="40"/>
      <c r="K327" s="40" t="s">
        <v>136</v>
      </c>
      <c r="L327" s="40"/>
      <c r="M327" s="40"/>
      <c r="N327" s="40"/>
    </row>
    <row r="328" spans="1:14" ht="15" customHeight="1">
      <c r="A328" s="50" t="s">
        <v>345</v>
      </c>
      <c r="B328" s="43" t="str">
        <f>IFERROR(INDEX(Dim_Proyectos!$A:$A,MATCH(A328,Dim_Proyectos!$B:$B,0)),"")</f>
        <v>P010</v>
      </c>
      <c r="C328" s="44" t="s">
        <v>133</v>
      </c>
      <c r="D328" s="44" t="s">
        <v>192</v>
      </c>
      <c r="E328" s="45" t="s">
        <v>609</v>
      </c>
      <c r="F328" s="44"/>
      <c r="G328" s="44"/>
      <c r="H328" s="44"/>
      <c r="I328" s="44"/>
      <c r="J328" s="44"/>
      <c r="K328" s="44" t="s">
        <v>136</v>
      </c>
      <c r="L328" s="44"/>
      <c r="M328" s="44"/>
      <c r="N328" s="44"/>
    </row>
    <row r="329" spans="1:14" ht="15" customHeight="1">
      <c r="A329" s="50" t="s">
        <v>610</v>
      </c>
      <c r="B329" s="43" t="str">
        <f>IFERROR(INDEX(Dim_Proyectos!$A:$A,MATCH(A329,Dim_Proyectos!$B:$B,0)),"")</f>
        <v>P016</v>
      </c>
      <c r="C329" s="44" t="s">
        <v>611</v>
      </c>
      <c r="D329" s="44" t="s">
        <v>229</v>
      </c>
      <c r="E329" s="45" t="s">
        <v>612</v>
      </c>
      <c r="F329" s="44"/>
      <c r="G329" s="44"/>
      <c r="H329" s="44"/>
      <c r="I329" s="44"/>
      <c r="J329" s="44"/>
      <c r="K329" s="44" t="s">
        <v>151</v>
      </c>
      <c r="L329" s="44"/>
      <c r="M329" s="44"/>
      <c r="N329" s="44"/>
    </row>
    <row r="330" spans="1:14" ht="15" customHeight="1">
      <c r="A330" s="50" t="s">
        <v>610</v>
      </c>
      <c r="B330" s="43" t="str">
        <f>IFERROR(INDEX(Dim_Proyectos!$A:$A,MATCH(A330,Dim_Proyectos!$B:$B,0)),"")</f>
        <v>P016</v>
      </c>
      <c r="C330" s="44" t="s">
        <v>611</v>
      </c>
      <c r="D330" s="44" t="s">
        <v>229</v>
      </c>
      <c r="E330" s="41" t="s">
        <v>613</v>
      </c>
      <c r="F330" s="40"/>
      <c r="G330" s="40"/>
      <c r="H330" s="40"/>
      <c r="I330" s="40"/>
      <c r="J330" s="40"/>
      <c r="K330" s="44" t="s">
        <v>151</v>
      </c>
      <c r="L330" s="40"/>
      <c r="M330" s="40"/>
      <c r="N330" s="40"/>
    </row>
    <row r="331" spans="1:14" ht="15" customHeight="1">
      <c r="A331" s="50" t="s">
        <v>610</v>
      </c>
      <c r="B331" s="43" t="str">
        <f>IFERROR(INDEX(Dim_Proyectos!$A:$A,MATCH(A331,Dim_Proyectos!$B:$B,0)),"")</f>
        <v>P016</v>
      </c>
      <c r="C331" s="44" t="s">
        <v>611</v>
      </c>
      <c r="D331" s="44" t="s">
        <v>229</v>
      </c>
      <c r="E331" s="45" t="s">
        <v>614</v>
      </c>
      <c r="F331" s="44"/>
      <c r="G331" s="44"/>
      <c r="H331" s="44"/>
      <c r="I331" s="44"/>
      <c r="J331" s="44"/>
      <c r="K331" s="44" t="s">
        <v>151</v>
      </c>
      <c r="L331" s="44"/>
      <c r="M331" s="44"/>
      <c r="N331" s="44"/>
    </row>
    <row r="332" spans="1:14" ht="15" customHeight="1">
      <c r="A332" s="50" t="s">
        <v>610</v>
      </c>
      <c r="B332" s="43" t="str">
        <f>IFERROR(INDEX(Dim_Proyectos!$A:$A,MATCH(A332,Dim_Proyectos!$B:$B,0)),"")</f>
        <v>P016</v>
      </c>
      <c r="C332" s="44" t="s">
        <v>611</v>
      </c>
      <c r="D332" s="44" t="s">
        <v>229</v>
      </c>
      <c r="E332" s="41" t="s">
        <v>615</v>
      </c>
      <c r="F332" s="40"/>
      <c r="G332" s="40"/>
      <c r="H332" s="40"/>
      <c r="I332" s="40"/>
      <c r="J332" s="40"/>
      <c r="K332" s="44" t="s">
        <v>151</v>
      </c>
      <c r="L332" s="40"/>
      <c r="M332" s="40"/>
      <c r="N332" s="40"/>
    </row>
    <row r="333" spans="1:14" ht="15" customHeight="1">
      <c r="A333" s="50" t="s">
        <v>610</v>
      </c>
      <c r="B333" s="43" t="str">
        <f>IFERROR(INDEX(Dim_Proyectos!$A:$A,MATCH(A333,Dim_Proyectos!$B:$B,0)),"")</f>
        <v>P016</v>
      </c>
      <c r="C333" s="44" t="s">
        <v>611</v>
      </c>
      <c r="D333" s="44" t="s">
        <v>229</v>
      </c>
      <c r="E333" s="45" t="s">
        <v>612</v>
      </c>
      <c r="F333" s="44"/>
      <c r="G333" s="44"/>
      <c r="H333" s="44"/>
      <c r="I333" s="44"/>
      <c r="J333" s="44"/>
      <c r="K333" s="44" t="s">
        <v>151</v>
      </c>
      <c r="L333" s="44"/>
      <c r="M333" s="44"/>
      <c r="N333" s="44"/>
    </row>
    <row r="334" spans="1:14" ht="15" customHeight="1">
      <c r="A334" s="50" t="s">
        <v>610</v>
      </c>
      <c r="B334" s="39" t="str">
        <f>IFERROR(INDEX(Dim_Proyectos!$A:$A,MATCH(A334,Dim_Proyectos!$B:$B,0)),"")</f>
        <v>P016</v>
      </c>
      <c r="C334" s="44" t="s">
        <v>611</v>
      </c>
      <c r="D334" s="44" t="s">
        <v>229</v>
      </c>
      <c r="E334" s="41" t="s">
        <v>613</v>
      </c>
      <c r="F334" s="40"/>
      <c r="G334" s="40"/>
      <c r="H334" s="40"/>
      <c r="I334" s="40"/>
      <c r="J334" s="40"/>
      <c r="K334" s="44" t="s">
        <v>151</v>
      </c>
      <c r="L334" s="40"/>
      <c r="M334" s="40"/>
      <c r="N334" s="40"/>
    </row>
    <row r="335" spans="1:14" ht="15" customHeight="1">
      <c r="A335" s="50" t="s">
        <v>610</v>
      </c>
      <c r="B335" s="43" t="str">
        <f>IFERROR(INDEX(Dim_Proyectos!$A:$A,MATCH(A335,Dim_Proyectos!$B:$B,0)),"")</f>
        <v>P016</v>
      </c>
      <c r="C335" s="44" t="s">
        <v>611</v>
      </c>
      <c r="D335" s="44" t="s">
        <v>229</v>
      </c>
      <c r="E335" s="45" t="s">
        <v>614</v>
      </c>
      <c r="F335" s="44"/>
      <c r="G335" s="44"/>
      <c r="H335" s="44"/>
      <c r="I335" s="44"/>
      <c r="J335" s="44"/>
      <c r="K335" s="44" t="s">
        <v>151</v>
      </c>
      <c r="L335" s="44"/>
      <c r="M335" s="44"/>
      <c r="N335" s="44"/>
    </row>
    <row r="336" spans="1:14" ht="15" customHeight="1">
      <c r="A336" s="50" t="s">
        <v>610</v>
      </c>
      <c r="B336" s="39" t="str">
        <f>IFERROR(INDEX(Dim_Proyectos!$A:$A,MATCH(A336,Dim_Proyectos!$B:$B,0)),"")</f>
        <v>P016</v>
      </c>
      <c r="C336" s="44" t="s">
        <v>611</v>
      </c>
      <c r="D336" s="44" t="s">
        <v>229</v>
      </c>
      <c r="E336" s="41" t="s">
        <v>615</v>
      </c>
      <c r="F336" s="40"/>
      <c r="G336" s="40"/>
      <c r="H336" s="40"/>
      <c r="I336" s="40"/>
      <c r="J336" s="40"/>
      <c r="K336" s="44" t="s">
        <v>151</v>
      </c>
      <c r="L336" s="40"/>
      <c r="M336" s="40"/>
      <c r="N336" s="40"/>
    </row>
    <row r="337" spans="1:14" ht="15" customHeight="1">
      <c r="A337" s="50" t="s">
        <v>610</v>
      </c>
      <c r="B337" s="43" t="str">
        <f>IFERROR(INDEX(Dim_Proyectos!$A:$A,MATCH(A337,Dim_Proyectos!$B:$B,0)),"")</f>
        <v>P016</v>
      </c>
      <c r="C337" s="44" t="s">
        <v>611</v>
      </c>
      <c r="D337" s="44" t="s">
        <v>229</v>
      </c>
      <c r="E337" s="45" t="s">
        <v>616</v>
      </c>
      <c r="F337" s="44"/>
      <c r="G337" s="44"/>
      <c r="H337" s="44"/>
      <c r="I337" s="44"/>
      <c r="J337" s="44"/>
      <c r="K337" s="44" t="s">
        <v>151</v>
      </c>
      <c r="L337" s="44"/>
      <c r="M337" s="44"/>
      <c r="N337" s="44"/>
    </row>
    <row r="338" spans="1:14" ht="15" customHeight="1">
      <c r="A338" s="50" t="s">
        <v>610</v>
      </c>
      <c r="B338" s="39" t="str">
        <f>IFERROR(INDEX(Dim_Proyectos!$A:$A,MATCH(A338,Dim_Proyectos!$B:$B,0)),"")</f>
        <v>P016</v>
      </c>
      <c r="C338" s="44" t="s">
        <v>611</v>
      </c>
      <c r="D338" s="40" t="s">
        <v>187</v>
      </c>
      <c r="E338" s="41" t="s">
        <v>617</v>
      </c>
      <c r="F338" s="40"/>
      <c r="G338" s="40"/>
      <c r="H338" s="40"/>
      <c r="I338" s="40"/>
      <c r="J338" s="40"/>
      <c r="K338" s="40" t="s">
        <v>151</v>
      </c>
      <c r="L338" s="40"/>
      <c r="M338" s="40"/>
      <c r="N338" s="40"/>
    </row>
    <row r="339" spans="1:14" ht="15" customHeight="1">
      <c r="A339" s="50" t="s">
        <v>610</v>
      </c>
      <c r="B339" s="43" t="str">
        <f>IFERROR(INDEX(Dim_Proyectos!$A:$A,MATCH(A339,Dim_Proyectos!$B:$B,0)),"")</f>
        <v>P016</v>
      </c>
      <c r="C339" s="44" t="s">
        <v>611</v>
      </c>
      <c r="D339" s="44" t="s">
        <v>204</v>
      </c>
      <c r="E339" s="45" t="s">
        <v>618</v>
      </c>
      <c r="F339" s="44"/>
      <c r="G339" s="44"/>
      <c r="H339" s="44"/>
      <c r="I339" s="44"/>
      <c r="J339" s="44"/>
      <c r="K339" s="44" t="s">
        <v>151</v>
      </c>
      <c r="L339" s="44"/>
      <c r="M339" s="44"/>
      <c r="N339" s="44"/>
    </row>
    <row r="340" spans="1:14" ht="15" customHeight="1">
      <c r="A340" s="50" t="s">
        <v>610</v>
      </c>
      <c r="B340" s="39" t="str">
        <f>IFERROR(INDEX(Dim_Proyectos!$A:$A,MATCH(A340,Dim_Proyectos!$B:$B,0)),"")</f>
        <v>P016</v>
      </c>
      <c r="C340" s="44" t="s">
        <v>611</v>
      </c>
      <c r="D340" s="40" t="s">
        <v>157</v>
      </c>
      <c r="E340" s="41" t="s">
        <v>619</v>
      </c>
      <c r="F340" s="40"/>
      <c r="G340" s="40"/>
      <c r="H340" s="40"/>
      <c r="I340" s="40"/>
      <c r="J340" s="40"/>
      <c r="K340" s="40" t="s">
        <v>136</v>
      </c>
      <c r="L340" s="40"/>
      <c r="M340" s="40"/>
      <c r="N340" s="40"/>
    </row>
    <row r="341" spans="1:14" ht="15" customHeight="1">
      <c r="A341" s="50" t="s">
        <v>610</v>
      </c>
      <c r="B341" s="43" t="str">
        <f>IFERROR(INDEX(Dim_Proyectos!$A:$A,MATCH(A341,Dim_Proyectos!$B:$B,0)),"")</f>
        <v>P016</v>
      </c>
      <c r="C341" s="44" t="s">
        <v>611</v>
      </c>
      <c r="D341" s="44" t="s">
        <v>157</v>
      </c>
      <c r="E341" s="45" t="s">
        <v>619</v>
      </c>
      <c r="F341" s="44"/>
      <c r="G341" s="44"/>
      <c r="H341" s="44"/>
      <c r="I341" s="44"/>
      <c r="J341" s="44"/>
      <c r="K341" s="44" t="s">
        <v>151</v>
      </c>
      <c r="L341" s="44"/>
      <c r="M341" s="44"/>
      <c r="N341" s="44"/>
    </row>
    <row r="342" spans="1:14" ht="15" customHeight="1">
      <c r="A342" s="50" t="s">
        <v>610</v>
      </c>
      <c r="B342" s="39" t="str">
        <f>IFERROR(INDEX(Dim_Proyectos!$A:$A,MATCH(A342,Dim_Proyectos!$B:$B,0)),"")</f>
        <v>P016</v>
      </c>
      <c r="C342" s="44" t="s">
        <v>611</v>
      </c>
      <c r="D342" s="40" t="s">
        <v>206</v>
      </c>
      <c r="E342" s="41" t="s">
        <v>620</v>
      </c>
      <c r="F342" s="40"/>
      <c r="G342" s="40"/>
      <c r="H342" s="40"/>
      <c r="I342" s="40"/>
      <c r="J342" s="40"/>
      <c r="K342" s="40" t="s">
        <v>136</v>
      </c>
      <c r="L342" s="40"/>
      <c r="M342" s="40"/>
      <c r="N342" s="40"/>
    </row>
    <row r="343" spans="1:14" ht="15" customHeight="1">
      <c r="A343" s="50" t="s">
        <v>610</v>
      </c>
      <c r="B343" s="43" t="str">
        <f>IFERROR(INDEX(Dim_Proyectos!$A:$A,MATCH(A343,Dim_Proyectos!$B:$B,0)),"")</f>
        <v>P016</v>
      </c>
      <c r="C343" s="44" t="s">
        <v>611</v>
      </c>
      <c r="D343" s="44" t="s">
        <v>187</v>
      </c>
      <c r="E343" s="45" t="s">
        <v>621</v>
      </c>
      <c r="F343" s="44"/>
      <c r="G343" s="44"/>
      <c r="H343" s="44"/>
      <c r="I343" s="44"/>
      <c r="J343" s="44"/>
      <c r="K343" s="44" t="s">
        <v>136</v>
      </c>
      <c r="L343" s="44"/>
      <c r="M343" s="44"/>
      <c r="N343" s="44"/>
    </row>
    <row r="344" spans="1:14" ht="15" customHeight="1">
      <c r="A344" s="50" t="s">
        <v>610</v>
      </c>
      <c r="B344" s="39" t="str">
        <f>IFERROR(INDEX(Dim_Proyectos!$A:$A,MATCH(A344,Dim_Proyectos!$B:$B,0)),"")</f>
        <v>P016</v>
      </c>
      <c r="C344" s="44" t="s">
        <v>611</v>
      </c>
      <c r="D344" s="40" t="s">
        <v>187</v>
      </c>
      <c r="E344" s="41" t="s">
        <v>622</v>
      </c>
      <c r="F344" s="40"/>
      <c r="G344" s="40"/>
      <c r="H344" s="40"/>
      <c r="I344" s="40"/>
      <c r="J344" s="40"/>
      <c r="K344" s="40" t="s">
        <v>136</v>
      </c>
      <c r="L344" s="40"/>
      <c r="M344" s="40"/>
      <c r="N344" s="40"/>
    </row>
    <row r="345" spans="1:14" ht="15" customHeight="1">
      <c r="A345" s="50" t="s">
        <v>610</v>
      </c>
      <c r="B345" s="43" t="str">
        <f>IFERROR(INDEX(Dim_Proyectos!$A:$A,MATCH(A345,Dim_Proyectos!$B:$B,0)),"")</f>
        <v>P016</v>
      </c>
      <c r="C345" s="44" t="s">
        <v>611</v>
      </c>
      <c r="D345" s="40" t="s">
        <v>187</v>
      </c>
      <c r="E345" s="45" t="s">
        <v>623</v>
      </c>
      <c r="F345" s="44"/>
      <c r="G345" s="44"/>
      <c r="H345" s="44"/>
      <c r="I345" s="44"/>
      <c r="J345" s="44"/>
      <c r="K345" s="44" t="s">
        <v>136</v>
      </c>
      <c r="L345" s="44"/>
      <c r="M345" s="44"/>
      <c r="N345" s="44"/>
    </row>
    <row r="346" spans="1:14" ht="15" customHeight="1">
      <c r="B346" s="49" t="str">
        <f>IFERROR(INDEX(Dim_Proyectos!$A:$A,MATCH(A346,Dim_Proyectos!$B:$B,0)),"")</f>
        <v/>
      </c>
    </row>
    <row r="347" spans="1:14" ht="15" customHeight="1">
      <c r="B347" s="49" t="str">
        <f>IFERROR(INDEX(Dim_Proyectos!$A:$A,MATCH(A347,Dim_Proyectos!$B:$B,0)),"")</f>
        <v/>
      </c>
    </row>
    <row r="348" spans="1:14" ht="15" customHeight="1">
      <c r="B348" s="49" t="str">
        <f>IFERROR(INDEX(Dim_Proyectos!$A:$A,MATCH(A348,Dim_Proyectos!$B:$B,0)),"")</f>
        <v/>
      </c>
    </row>
    <row r="349" spans="1:14" ht="15" customHeight="1">
      <c r="B349" s="49" t="str">
        <f>IFERROR(INDEX(Dim_Proyectos!$A:$A,MATCH(A349,Dim_Proyectos!$B:$B,0)),"")</f>
        <v/>
      </c>
    </row>
    <row r="350" spans="1:14" ht="15" customHeight="1">
      <c r="B350" s="49" t="str">
        <f>IFERROR(INDEX(Dim_Proyectos!$A:$A,MATCH(A350,Dim_Proyectos!$B:$B,0)),"")</f>
        <v/>
      </c>
    </row>
    <row r="351" spans="1:14" ht="15" customHeight="1">
      <c r="B351" s="49" t="str">
        <f>IFERROR(INDEX(Dim_Proyectos!$A:$A,MATCH(A351,Dim_Proyectos!$B:$B,0)),"")</f>
        <v/>
      </c>
    </row>
    <row r="352" spans="1:14" ht="15" customHeight="1">
      <c r="B352" s="49" t="str">
        <f>IFERROR(INDEX(Dim_Proyectos!$A:$A,MATCH(A352,Dim_Proyectos!$B:$B,0)),"")</f>
        <v/>
      </c>
    </row>
    <row r="353" spans="2:2" ht="15" customHeight="1">
      <c r="B353" s="49" t="str">
        <f>IFERROR(INDEX(Dim_Proyectos!$A:$A,MATCH(A353,Dim_Proyectos!$B:$B,0)),"")</f>
        <v/>
      </c>
    </row>
    <row r="354" spans="2:2" ht="15" customHeight="1">
      <c r="B354" s="49" t="str">
        <f>IFERROR(INDEX(Dim_Proyectos!$A:$A,MATCH(A354,Dim_Proyectos!$B:$B,0)),"")</f>
        <v/>
      </c>
    </row>
    <row r="355" spans="2:2" ht="15" customHeight="1">
      <c r="B355" s="49" t="str">
        <f>IFERROR(INDEX(Dim_Proyectos!$A:$A,MATCH(A355,Dim_Proyectos!$B:$B,0)),"")</f>
        <v/>
      </c>
    </row>
    <row r="356" spans="2:2" ht="15" customHeight="1">
      <c r="B356" s="49" t="str">
        <f>IFERROR(INDEX(Dim_Proyectos!$A:$A,MATCH(A356,Dim_Proyectos!$B:$B,0)),"")</f>
        <v/>
      </c>
    </row>
    <row r="357" spans="2:2" ht="15" customHeight="1">
      <c r="B357" s="49" t="str">
        <f>IFERROR(INDEX(Dim_Proyectos!$A:$A,MATCH(A357,Dim_Proyectos!$B:$B,0)),"")</f>
        <v/>
      </c>
    </row>
    <row r="358" spans="2:2" ht="15" customHeight="1">
      <c r="B358" s="49" t="str">
        <f>IFERROR(INDEX(Dim_Proyectos!$A:$A,MATCH(A358,Dim_Proyectos!$B:$B,0)),"")</f>
        <v/>
      </c>
    </row>
    <row r="359" spans="2:2" ht="15" customHeight="1">
      <c r="B359" s="49" t="str">
        <f>IFERROR(INDEX(Dim_Proyectos!$A:$A,MATCH(A359,Dim_Proyectos!$B:$B,0)),"")</f>
        <v/>
      </c>
    </row>
    <row r="360" spans="2:2" ht="15" customHeight="1">
      <c r="B360" s="49" t="str">
        <f>IFERROR(INDEX(Dim_Proyectos!$A:$A,MATCH(A360,Dim_Proyectos!$B:$B,0)),"")</f>
        <v/>
      </c>
    </row>
    <row r="361" spans="2:2" ht="15" customHeight="1">
      <c r="B361" s="49" t="str">
        <f>IFERROR(INDEX(Dim_Proyectos!$A:$A,MATCH(A361,Dim_Proyectos!$B:$B,0)),"")</f>
        <v/>
      </c>
    </row>
    <row r="362" spans="2:2" ht="15" customHeight="1">
      <c r="B362" s="49" t="str">
        <f>IFERROR(INDEX(Dim_Proyectos!$A:$A,MATCH(A362,Dim_Proyectos!$B:$B,0)),"")</f>
        <v/>
      </c>
    </row>
    <row r="363" spans="2:2" ht="15" customHeight="1">
      <c r="B363" s="49" t="str">
        <f>IFERROR(INDEX(Dim_Proyectos!$A:$A,MATCH(A363,Dim_Proyectos!$B:$B,0)),"")</f>
        <v/>
      </c>
    </row>
    <row r="364" spans="2:2" ht="15" customHeight="1">
      <c r="B364" s="49" t="str">
        <f>IFERROR(INDEX(Dim_Proyectos!$A:$A,MATCH(A364,Dim_Proyectos!$B:$B,0)),"")</f>
        <v/>
      </c>
    </row>
    <row r="365" spans="2:2" ht="15" customHeight="1">
      <c r="B365" s="49" t="str">
        <f>IFERROR(INDEX(Dim_Proyectos!$A:$A,MATCH(A365,Dim_Proyectos!$B:$B,0)),"")</f>
        <v/>
      </c>
    </row>
    <row r="366" spans="2:2" ht="15" customHeight="1">
      <c r="B366" s="49" t="str">
        <f>IFERROR(INDEX(Dim_Proyectos!$A:$A,MATCH(A366,Dim_Proyectos!$B:$B,0)),"")</f>
        <v/>
      </c>
    </row>
    <row r="367" spans="2:2" ht="15" customHeight="1">
      <c r="B367" s="49" t="str">
        <f>IFERROR(INDEX(Dim_Proyectos!$A:$A,MATCH(A367,Dim_Proyectos!$B:$B,0)),"")</f>
        <v/>
      </c>
    </row>
    <row r="368" spans="2:2" ht="15" customHeight="1">
      <c r="B368" s="49" t="str">
        <f>IFERROR(INDEX(Dim_Proyectos!$A:$A,MATCH(A368,Dim_Proyectos!$B:$B,0)),"")</f>
        <v/>
      </c>
    </row>
    <row r="369" spans="2:2" ht="15" customHeight="1">
      <c r="B369" s="49" t="str">
        <f>IFERROR(INDEX(Dim_Proyectos!$A:$A,MATCH(A369,Dim_Proyectos!$B:$B,0)),"")</f>
        <v/>
      </c>
    </row>
    <row r="370" spans="2:2" ht="15" customHeight="1">
      <c r="B370" s="49" t="str">
        <f>IFERROR(INDEX(Dim_Proyectos!$A:$A,MATCH(A370,Dim_Proyectos!$B:$B,0)),"")</f>
        <v/>
      </c>
    </row>
    <row r="371" spans="2:2" ht="15" customHeight="1">
      <c r="B371" s="49" t="str">
        <f>IFERROR(INDEX(Dim_Proyectos!$A:$A,MATCH(A371,Dim_Proyectos!$B:$B,0)),"")</f>
        <v/>
      </c>
    </row>
    <row r="372" spans="2:2" ht="15" customHeight="1">
      <c r="B372" s="49" t="str">
        <f>IFERROR(INDEX(Dim_Proyectos!$A:$A,MATCH(A372,Dim_Proyectos!$B:$B,0)),"")</f>
        <v/>
      </c>
    </row>
    <row r="373" spans="2:2" ht="15" customHeight="1">
      <c r="B373" s="49" t="str">
        <f>IFERROR(INDEX(Dim_Proyectos!$A:$A,MATCH(A373,Dim_Proyectos!$B:$B,0)),"")</f>
        <v/>
      </c>
    </row>
    <row r="374" spans="2:2" ht="15" customHeight="1">
      <c r="B374" s="49" t="str">
        <f>IFERROR(INDEX(Dim_Proyectos!$A:$A,MATCH(A374,Dim_Proyectos!$B:$B,0)),"")</f>
        <v/>
      </c>
    </row>
    <row r="375" spans="2:2" ht="15" customHeight="1">
      <c r="B375" s="49" t="str">
        <f>IFERROR(INDEX(Dim_Proyectos!$A:$A,MATCH(A375,Dim_Proyectos!$B:$B,0)),"")</f>
        <v/>
      </c>
    </row>
    <row r="376" spans="2:2" ht="15" customHeight="1">
      <c r="B376" s="49" t="str">
        <f>IFERROR(INDEX(Dim_Proyectos!$A:$A,MATCH(A376,Dim_Proyectos!$B:$B,0)),"")</f>
        <v/>
      </c>
    </row>
    <row r="377" spans="2:2" ht="15" customHeight="1">
      <c r="B377" s="49" t="str">
        <f>IFERROR(INDEX(Dim_Proyectos!$A:$A,MATCH(A377,Dim_Proyectos!$B:$B,0)),"")</f>
        <v/>
      </c>
    </row>
    <row r="378" spans="2:2" ht="15" customHeight="1">
      <c r="B378" s="49" t="str">
        <f>IFERROR(INDEX(Dim_Proyectos!$A:$A,MATCH(A378,Dim_Proyectos!$B:$B,0)),"")</f>
        <v/>
      </c>
    </row>
    <row r="379" spans="2:2" ht="15" customHeight="1">
      <c r="B379" s="49" t="str">
        <f>IFERROR(INDEX(Dim_Proyectos!$A:$A,MATCH(A379,Dim_Proyectos!$B:$B,0)),"")</f>
        <v/>
      </c>
    </row>
    <row r="380" spans="2:2" ht="15" customHeight="1">
      <c r="B380" s="49" t="str">
        <f>IFERROR(INDEX(Dim_Proyectos!$A:$A,MATCH(A380,Dim_Proyectos!$B:$B,0)),"")</f>
        <v/>
      </c>
    </row>
    <row r="381" spans="2:2" ht="15" customHeight="1">
      <c r="B381" s="49" t="str">
        <f>IFERROR(INDEX(Dim_Proyectos!$A:$A,MATCH(A381,Dim_Proyectos!$B:$B,0)),"")</f>
        <v/>
      </c>
    </row>
    <row r="382" spans="2:2" ht="15" customHeight="1">
      <c r="B382" s="49" t="str">
        <f>IFERROR(INDEX(Dim_Proyectos!$A:$A,MATCH(A382,Dim_Proyectos!$B:$B,0)),"")</f>
        <v/>
      </c>
    </row>
    <row r="383" spans="2:2" ht="15" customHeight="1">
      <c r="B383" s="49" t="str">
        <f>IFERROR(INDEX(Dim_Proyectos!$A:$A,MATCH(A383,Dim_Proyectos!$B:$B,0)),"")</f>
        <v/>
      </c>
    </row>
    <row r="384" spans="2:2" ht="15" customHeight="1">
      <c r="B384" s="49" t="str">
        <f>IFERROR(INDEX(Dim_Proyectos!$A:$A,MATCH(A384,Dim_Proyectos!$B:$B,0)),"")</f>
        <v/>
      </c>
    </row>
    <row r="385" spans="2:2" ht="15" customHeight="1">
      <c r="B385" s="49" t="str">
        <f>IFERROR(INDEX(Dim_Proyectos!$A:$A,MATCH(A385,Dim_Proyectos!$B:$B,0)),"")</f>
        <v/>
      </c>
    </row>
    <row r="386" spans="2:2" ht="15" customHeight="1">
      <c r="B386" s="49" t="str">
        <f>IFERROR(INDEX(Dim_Proyectos!$A:$A,MATCH(A386,Dim_Proyectos!$B:$B,0)),"")</f>
        <v/>
      </c>
    </row>
    <row r="387" spans="2:2" ht="15" customHeight="1">
      <c r="B387" s="49" t="str">
        <f>IFERROR(INDEX(Dim_Proyectos!$A:$A,MATCH(A387,Dim_Proyectos!$B:$B,0)),"")</f>
        <v/>
      </c>
    </row>
    <row r="388" spans="2:2" ht="15" customHeight="1">
      <c r="B388" s="49" t="str">
        <f>IFERROR(INDEX(Dim_Proyectos!$A:$A,MATCH(A388,Dim_Proyectos!$B:$B,0)),"")</f>
        <v/>
      </c>
    </row>
    <row r="389" spans="2:2" ht="15" customHeight="1">
      <c r="B389" s="49" t="str">
        <f>IFERROR(INDEX(Dim_Proyectos!$A:$A,MATCH(A389,Dim_Proyectos!$B:$B,0)),"")</f>
        <v/>
      </c>
    </row>
    <row r="390" spans="2:2" ht="15" customHeight="1">
      <c r="B390" s="49" t="str">
        <f>IFERROR(INDEX(Dim_Proyectos!$A:$A,MATCH(A390,Dim_Proyectos!$B:$B,0)),"")</f>
        <v/>
      </c>
    </row>
    <row r="391" spans="2:2" ht="15" customHeight="1">
      <c r="B391" s="49" t="str">
        <f>IFERROR(INDEX(Dim_Proyectos!$A:$A,MATCH(A391,Dim_Proyectos!$B:$B,0)),"")</f>
        <v/>
      </c>
    </row>
    <row r="392" spans="2:2" ht="15" customHeight="1">
      <c r="B392" s="49" t="str">
        <f>IFERROR(INDEX(Dim_Proyectos!$A:$A,MATCH(A392,Dim_Proyectos!$B:$B,0)),"")</f>
        <v/>
      </c>
    </row>
    <row r="393" spans="2:2" ht="15" customHeight="1">
      <c r="B393" s="49" t="str">
        <f>IFERROR(INDEX(Dim_Proyectos!$A:$A,MATCH(A393,Dim_Proyectos!$B:$B,0)),"")</f>
        <v/>
      </c>
    </row>
    <row r="394" spans="2:2" ht="15" customHeight="1">
      <c r="B394" s="49" t="str">
        <f>IFERROR(INDEX(Dim_Proyectos!$A:$A,MATCH(A394,Dim_Proyectos!$B:$B,0)),"")</f>
        <v/>
      </c>
    </row>
    <row r="395" spans="2:2" ht="15" customHeight="1">
      <c r="B395" s="49" t="str">
        <f>IFERROR(INDEX(Dim_Proyectos!$A:$A,MATCH(A395,Dim_Proyectos!$B:$B,0)),"")</f>
        <v/>
      </c>
    </row>
    <row r="396" spans="2:2" ht="15" customHeight="1">
      <c r="B396" s="49" t="str">
        <f>IFERROR(INDEX(Dim_Proyectos!$A:$A,MATCH(A396,Dim_Proyectos!$B:$B,0)),"")</f>
        <v/>
      </c>
    </row>
    <row r="397" spans="2:2" ht="15" customHeight="1">
      <c r="B397" s="49" t="str">
        <f>IFERROR(INDEX(Dim_Proyectos!$A:$A,MATCH(A397,Dim_Proyectos!$B:$B,0)),"")</f>
        <v/>
      </c>
    </row>
    <row r="398" spans="2:2" ht="15" customHeight="1">
      <c r="B398" s="49" t="str">
        <f>IFERROR(INDEX(Dim_Proyectos!$A:$A,MATCH(A398,Dim_Proyectos!$B:$B,0)),"")</f>
        <v/>
      </c>
    </row>
    <row r="399" spans="2:2" ht="15" customHeight="1">
      <c r="B399" s="49" t="str">
        <f>IFERROR(INDEX(Dim_Proyectos!$A:$A,MATCH(A399,Dim_Proyectos!$B:$B,0)),"")</f>
        <v/>
      </c>
    </row>
    <row r="400" spans="2:2" ht="15" customHeight="1">
      <c r="B400" s="49" t="str">
        <f>IFERROR(INDEX(Dim_Proyectos!$A:$A,MATCH(A400,Dim_Proyectos!$B:$B,0)),"")</f>
        <v/>
      </c>
    </row>
    <row r="401" spans="2:2" ht="15" customHeight="1">
      <c r="B401" s="49" t="str">
        <f>IFERROR(INDEX(Dim_Proyectos!$A:$A,MATCH(A401,Dim_Proyectos!$B:$B,0)),"")</f>
        <v/>
      </c>
    </row>
    <row r="402" spans="2:2" ht="15" customHeight="1">
      <c r="B402" s="49" t="str">
        <f>IFERROR(INDEX(Dim_Proyectos!$A:$A,MATCH(A402,Dim_Proyectos!$B:$B,0)),"")</f>
        <v/>
      </c>
    </row>
    <row r="403" spans="2:2" ht="15" customHeight="1">
      <c r="B403" s="49" t="str">
        <f>IFERROR(INDEX(Dim_Proyectos!$A:$A,MATCH(A403,Dim_Proyectos!$B:$B,0)),"")</f>
        <v/>
      </c>
    </row>
    <row r="404" spans="2:2" ht="15" customHeight="1">
      <c r="B404" s="49" t="str">
        <f>IFERROR(INDEX(Dim_Proyectos!$A:$A,MATCH(A404,Dim_Proyectos!$B:$B,0)),"")</f>
        <v/>
      </c>
    </row>
    <row r="405" spans="2:2" ht="15" customHeight="1">
      <c r="B405" s="49" t="str">
        <f>IFERROR(INDEX(Dim_Proyectos!$A:$A,MATCH(A405,Dim_Proyectos!$B:$B,0)),"")</f>
        <v/>
      </c>
    </row>
    <row r="406" spans="2:2" ht="15" customHeight="1">
      <c r="B406" s="49" t="str">
        <f>IFERROR(INDEX(Dim_Proyectos!$A:$A,MATCH(A406,Dim_Proyectos!$B:$B,0)),"")</f>
        <v/>
      </c>
    </row>
    <row r="407" spans="2:2" ht="15" customHeight="1">
      <c r="B407" s="49" t="str">
        <f>IFERROR(INDEX(Dim_Proyectos!$A:$A,MATCH(A407,Dim_Proyectos!$B:$B,0)),"")</f>
        <v/>
      </c>
    </row>
    <row r="408" spans="2:2" ht="15" customHeight="1">
      <c r="B408" s="49" t="str">
        <f>IFERROR(INDEX(Dim_Proyectos!$A:$A,MATCH(A408,Dim_Proyectos!$B:$B,0)),"")</f>
        <v/>
      </c>
    </row>
    <row r="409" spans="2:2" ht="15" customHeight="1">
      <c r="B409" s="49" t="str">
        <f>IFERROR(INDEX(Dim_Proyectos!$A:$A,MATCH(A409,Dim_Proyectos!$B:$B,0)),"")</f>
        <v/>
      </c>
    </row>
    <row r="410" spans="2:2" ht="15" customHeight="1">
      <c r="B410" s="49" t="str">
        <f>IFERROR(INDEX(Dim_Proyectos!$A:$A,MATCH(A410,Dim_Proyectos!$B:$B,0)),"")</f>
        <v/>
      </c>
    </row>
    <row r="411" spans="2:2" ht="15" customHeight="1">
      <c r="B411" s="49" t="str">
        <f>IFERROR(INDEX(Dim_Proyectos!$A:$A,MATCH(A411,Dim_Proyectos!$B:$B,0)),"")</f>
        <v/>
      </c>
    </row>
    <row r="412" spans="2:2" ht="15" customHeight="1">
      <c r="B412" s="49" t="str">
        <f>IFERROR(INDEX(Dim_Proyectos!$A:$A,MATCH(A412,Dim_Proyectos!$B:$B,0)),"")</f>
        <v/>
      </c>
    </row>
    <row r="413" spans="2:2" ht="15" customHeight="1">
      <c r="B413" s="49" t="str">
        <f>IFERROR(INDEX(Dim_Proyectos!$A:$A,MATCH(A413,Dim_Proyectos!$B:$B,0)),"")</f>
        <v/>
      </c>
    </row>
    <row r="414" spans="2:2" ht="15" customHeight="1">
      <c r="B414" s="49" t="str">
        <f>IFERROR(INDEX(Dim_Proyectos!$A:$A,MATCH(A414,Dim_Proyectos!$B:$B,0)),"")</f>
        <v/>
      </c>
    </row>
    <row r="415" spans="2:2" ht="15" customHeight="1">
      <c r="B415" s="49" t="str">
        <f>IFERROR(INDEX(Dim_Proyectos!$A:$A,MATCH(A415,Dim_Proyectos!$B:$B,0)),"")</f>
        <v/>
      </c>
    </row>
    <row r="416" spans="2:2" ht="15" customHeight="1">
      <c r="B416" s="49" t="str">
        <f>IFERROR(INDEX(Dim_Proyectos!$A:$A,MATCH(A416,Dim_Proyectos!$B:$B,0)),"")</f>
        <v/>
      </c>
    </row>
    <row r="417" spans="2:2" ht="15" customHeight="1">
      <c r="B417" s="49" t="str">
        <f>IFERROR(INDEX(Dim_Proyectos!$A:$A,MATCH(A417,Dim_Proyectos!$B:$B,0)),"")</f>
        <v/>
      </c>
    </row>
    <row r="418" spans="2:2" ht="15" customHeight="1">
      <c r="B418" s="49" t="str">
        <f>IFERROR(INDEX(Dim_Proyectos!$A:$A,MATCH(A418,Dim_Proyectos!$B:$B,0)),"")</f>
        <v/>
      </c>
    </row>
    <row r="419" spans="2:2" ht="15" customHeight="1">
      <c r="B419" s="49" t="str">
        <f>IFERROR(INDEX(Dim_Proyectos!$A:$A,MATCH(A419,Dim_Proyectos!$B:$B,0)),"")</f>
        <v/>
      </c>
    </row>
    <row r="420" spans="2:2" ht="15" customHeight="1">
      <c r="B420" s="49" t="str">
        <f>IFERROR(INDEX(Dim_Proyectos!$A:$A,MATCH(A420,Dim_Proyectos!$B:$B,0)),"")</f>
        <v/>
      </c>
    </row>
    <row r="421" spans="2:2" ht="15" customHeight="1">
      <c r="B421" s="49" t="str">
        <f>IFERROR(INDEX(Dim_Proyectos!$A:$A,MATCH(A421,Dim_Proyectos!$B:$B,0)),"")</f>
        <v/>
      </c>
    </row>
    <row r="422" spans="2:2" ht="15" customHeight="1">
      <c r="B422" s="49" t="str">
        <f>IFERROR(INDEX(Dim_Proyectos!$A:$A,MATCH(A422,Dim_Proyectos!$B:$B,0)),"")</f>
        <v/>
      </c>
    </row>
    <row r="423" spans="2:2" ht="15" customHeight="1">
      <c r="B423" s="49" t="str">
        <f>IFERROR(INDEX(Dim_Proyectos!$A:$A,MATCH(A423,Dim_Proyectos!$B:$B,0)),"")</f>
        <v/>
      </c>
    </row>
    <row r="424" spans="2:2" ht="15" customHeight="1">
      <c r="B424" s="49" t="str">
        <f>IFERROR(INDEX(Dim_Proyectos!$A:$A,MATCH(A424,Dim_Proyectos!$B:$B,0)),"")</f>
        <v/>
      </c>
    </row>
    <row r="425" spans="2:2" ht="15" customHeight="1">
      <c r="B425" s="49" t="str">
        <f>IFERROR(INDEX(Dim_Proyectos!$A:$A,MATCH(A425,Dim_Proyectos!$B:$B,0)),"")</f>
        <v/>
      </c>
    </row>
    <row r="426" spans="2:2" ht="15" customHeight="1">
      <c r="B426" s="49" t="str">
        <f>IFERROR(INDEX(Dim_Proyectos!$A:$A,MATCH(A426,Dim_Proyectos!$B:$B,0)),"")</f>
        <v/>
      </c>
    </row>
    <row r="427" spans="2:2" ht="15" customHeight="1">
      <c r="B427" s="49" t="str">
        <f>IFERROR(INDEX(Dim_Proyectos!$A:$A,MATCH(A427,Dim_Proyectos!$B:$B,0)),"")</f>
        <v/>
      </c>
    </row>
    <row r="428" spans="2:2" ht="15" customHeight="1">
      <c r="B428" s="49" t="str">
        <f>IFERROR(INDEX(Dim_Proyectos!$A:$A,MATCH(A428,Dim_Proyectos!$B:$B,0)),"")</f>
        <v/>
      </c>
    </row>
  </sheetData>
  <mergeCells count="1">
    <mergeCell ref="A1:N1"/>
  </mergeCells>
  <dataValidations count="5">
    <dataValidation type="list" allowBlank="1" sqref="A3:A428" xr:uid="{00000000-0002-0000-0300-000000000000}">
      <formula1>Lista_Proyectos</formula1>
      <formula2>0</formula2>
    </dataValidation>
    <dataValidation type="list" allowBlank="1" sqref="C3:C428" xr:uid="{00000000-0002-0000-0300-000001000000}">
      <formula1>"Estudio de traza,Estudios previos LAT,Estudios previos SE,Ingeniería Básica,Ingeniería Detalle"</formula1>
      <formula2>0</formula2>
    </dataValidation>
    <dataValidation type="list" allowBlank="1" sqref="D3:D428" xr:uid="{00000000-0002-0000-0300-000002000000}">
      <formula1>"SST,Estudios previos,Condiciones_OC,Condiciones_ME,EETT_OC,EETT_ME,Presupuesto_OC,Presupuesto_ME,Cronograma_OC,Cronograma_ME,Memorias_OC,Memorias_ME,Modelos_OC,Modelos_ME,Equipos"</formula1>
      <formula2>0</formula2>
    </dataValidation>
    <dataValidation type="list" allowBlank="1" sqref="F3:H428" xr:uid="{00000000-0002-0000-0300-000003000000}">
      <formula1>Lista_Colaboradores</formula1>
      <formula2>0</formula2>
    </dataValidation>
    <dataValidation type="list" allowBlank="1" sqref="K3:K428" xr:uid="{00000000-0002-0000-0300-000004000000}">
      <formula1>"Aprobado,Rechazado,En revisión,En proceso,Atención de comentarios"</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4472C4"/>
  </sheetPr>
  <dimension ref="B1:L104"/>
  <sheetViews>
    <sheetView topLeftCell="A23" zoomScale="70" zoomScaleNormal="70" workbookViewId="0">
      <selection activeCell="H40" sqref="H40"/>
    </sheetView>
  </sheetViews>
  <sheetFormatPr defaultColWidth="11.42578125" defaultRowHeight="15"/>
  <cols>
    <col min="2" max="3" width="11.5703125" style="49" customWidth="1"/>
    <col min="4" max="4" width="25.140625" customWidth="1"/>
    <col min="5" max="5" width="20.28515625" customWidth="1"/>
    <col min="6" max="6" width="34.7109375" style="49" customWidth="1"/>
    <col min="7" max="7" width="16.28515625" customWidth="1"/>
    <col min="8" max="8" width="59.28515625" customWidth="1"/>
    <col min="9" max="9" width="14.5703125" style="51" customWidth="1"/>
    <col min="10" max="10" width="12.28515625" style="51" customWidth="1"/>
    <col min="11" max="11" width="10.7109375" customWidth="1"/>
    <col min="12" max="12" width="64" customWidth="1"/>
  </cols>
  <sheetData>
    <row r="1" spans="2:12" ht="21.75" customHeight="1">
      <c r="B1" s="153" t="s">
        <v>624</v>
      </c>
      <c r="C1" s="153"/>
      <c r="D1" s="153"/>
      <c r="E1" s="153"/>
      <c r="F1" s="153"/>
      <c r="G1" s="153"/>
      <c r="H1" s="153"/>
      <c r="I1" s="153"/>
      <c r="J1" s="153"/>
      <c r="K1" s="153"/>
      <c r="L1" s="153"/>
    </row>
    <row r="3" spans="2:12" ht="15" customHeight="1">
      <c r="B3" s="154" t="str">
        <f>TEXT(Hoja2!$C$2,"d") &amp; " a " &amp; TEXT(Hoja2!$D$2,"d") &amp; " de " &amp; TEXT(Hoja2!$D$2,"mmmm")</f>
        <v>9 a 13 de marzo</v>
      </c>
      <c r="C3" s="154"/>
      <c r="D3" s="52" t="s">
        <v>625</v>
      </c>
      <c r="E3" s="52" t="s">
        <v>626</v>
      </c>
      <c r="F3" s="52" t="s">
        <v>627</v>
      </c>
      <c r="G3" s="52" t="s">
        <v>628</v>
      </c>
      <c r="H3" s="52" t="s">
        <v>629</v>
      </c>
      <c r="I3" s="53" t="s">
        <v>630</v>
      </c>
      <c r="J3" s="53" t="s">
        <v>631</v>
      </c>
      <c r="K3" s="52" t="s">
        <v>128</v>
      </c>
      <c r="L3" s="52" t="s">
        <v>632</v>
      </c>
    </row>
    <row r="4" spans="2:12" ht="15" customHeight="1">
      <c r="B4" s="54">
        <v>46090</v>
      </c>
      <c r="C4" s="55" t="s">
        <v>633</v>
      </c>
      <c r="D4" s="145" t="s">
        <v>634</v>
      </c>
      <c r="E4" s="145" t="s">
        <v>635</v>
      </c>
      <c r="F4" s="56" t="s">
        <v>636</v>
      </c>
      <c r="G4" s="145" t="s">
        <v>637</v>
      </c>
      <c r="H4" s="57" t="s">
        <v>638</v>
      </c>
      <c r="I4" s="58">
        <v>46090</v>
      </c>
      <c r="J4" s="58">
        <v>46090</v>
      </c>
      <c r="K4" s="59" t="s">
        <v>639</v>
      </c>
      <c r="L4" s="60"/>
    </row>
    <row r="5" spans="2:12" ht="15" customHeight="1">
      <c r="B5" s="54">
        <v>46091</v>
      </c>
      <c r="C5" s="55" t="s">
        <v>640</v>
      </c>
      <c r="D5" s="145"/>
      <c r="E5" s="145"/>
      <c r="F5" s="61" t="s">
        <v>641</v>
      </c>
      <c r="G5" s="145"/>
      <c r="H5" s="57" t="s">
        <v>642</v>
      </c>
      <c r="I5" s="58">
        <v>46090</v>
      </c>
      <c r="J5" s="58">
        <v>46091</v>
      </c>
      <c r="K5" s="59" t="s">
        <v>639</v>
      </c>
      <c r="L5" s="60"/>
    </row>
    <row r="6" spans="2:12" ht="15" customHeight="1">
      <c r="B6" s="54">
        <v>46092</v>
      </c>
      <c r="C6" s="55" t="s">
        <v>643</v>
      </c>
      <c r="D6" s="145"/>
      <c r="E6" s="145"/>
      <c r="F6" s="145" t="s">
        <v>644</v>
      </c>
      <c r="G6" s="145"/>
      <c r="H6" s="62" t="s">
        <v>645</v>
      </c>
      <c r="I6" s="58">
        <v>46091</v>
      </c>
      <c r="J6" s="58">
        <v>46092</v>
      </c>
      <c r="K6" s="63" t="s">
        <v>646</v>
      </c>
      <c r="L6" s="60" t="s">
        <v>647</v>
      </c>
    </row>
    <row r="7" spans="2:12" ht="15" customHeight="1">
      <c r="B7" s="54">
        <v>46093</v>
      </c>
      <c r="C7" s="55" t="s">
        <v>648</v>
      </c>
      <c r="D7" s="145"/>
      <c r="E7" s="145"/>
      <c r="F7" s="145"/>
      <c r="G7" s="145"/>
      <c r="H7" s="64" t="s">
        <v>649</v>
      </c>
      <c r="I7" s="58">
        <v>46092</v>
      </c>
      <c r="J7" s="58">
        <v>46093</v>
      </c>
      <c r="K7" s="63" t="s">
        <v>646</v>
      </c>
      <c r="L7" s="60" t="s">
        <v>650</v>
      </c>
    </row>
    <row r="8" spans="2:12" ht="15" customHeight="1">
      <c r="B8" s="54">
        <v>46094</v>
      </c>
      <c r="C8" s="55" t="s">
        <v>651</v>
      </c>
      <c r="D8" s="145"/>
      <c r="E8" s="145"/>
      <c r="F8" s="145"/>
      <c r="G8" s="145"/>
      <c r="H8" s="65" t="s">
        <v>652</v>
      </c>
      <c r="I8" s="58">
        <v>46093</v>
      </c>
      <c r="J8" s="58">
        <v>46094</v>
      </c>
      <c r="K8" s="63"/>
      <c r="L8" s="60"/>
    </row>
    <row r="9" spans="2:12" ht="15" customHeight="1">
      <c r="B9" s="66"/>
      <c r="C9" s="66"/>
      <c r="D9" s="67"/>
      <c r="E9" s="67"/>
      <c r="F9" s="67"/>
      <c r="G9" s="67"/>
      <c r="H9" s="67"/>
      <c r="I9" s="68"/>
      <c r="J9" s="68"/>
      <c r="K9" s="69"/>
    </row>
    <row r="10" spans="2:12" ht="15" customHeight="1">
      <c r="B10" s="66"/>
      <c r="C10" s="66"/>
      <c r="D10" s="67"/>
      <c r="E10" s="67"/>
      <c r="F10" s="67"/>
      <c r="G10" s="67"/>
      <c r="H10" s="67"/>
      <c r="I10" s="68"/>
      <c r="J10" s="68"/>
      <c r="K10" s="69"/>
    </row>
    <row r="11" spans="2:12" ht="15" customHeight="1">
      <c r="B11" s="144" t="str">
        <f>TEXT(Hoja2!$C$2,"d") &amp; " a " &amp; TEXT(Hoja2!$D$2,"d") &amp; " de " &amp; TEXT(Hoja2!$D$2,"mmmm")</f>
        <v>9 a 13 de marzo</v>
      </c>
      <c r="C11" s="144"/>
      <c r="D11" s="70" t="s">
        <v>625</v>
      </c>
      <c r="E11" s="70" t="s">
        <v>626</v>
      </c>
      <c r="F11" s="70" t="s">
        <v>627</v>
      </c>
      <c r="G11" s="70" t="s">
        <v>628</v>
      </c>
      <c r="H11" s="70" t="s">
        <v>629</v>
      </c>
      <c r="I11" s="71" t="s">
        <v>630</v>
      </c>
      <c r="J11" s="71" t="s">
        <v>631</v>
      </c>
      <c r="K11" s="72" t="s">
        <v>128</v>
      </c>
      <c r="L11" s="52" t="s">
        <v>632</v>
      </c>
    </row>
    <row r="12" spans="2:12" ht="15" customHeight="1">
      <c r="B12" s="54">
        <v>46090</v>
      </c>
      <c r="C12" s="55" t="s">
        <v>633</v>
      </c>
      <c r="D12" s="145" t="s">
        <v>653</v>
      </c>
      <c r="E12" s="145" t="s">
        <v>635</v>
      </c>
      <c r="F12" s="145" t="s">
        <v>654</v>
      </c>
      <c r="G12" s="145" t="s">
        <v>637</v>
      </c>
      <c r="H12" s="57" t="s">
        <v>655</v>
      </c>
      <c r="I12" s="148">
        <f>Hoja2!$C$3</f>
        <v>46097</v>
      </c>
      <c r="J12" s="148">
        <v>46094</v>
      </c>
      <c r="K12" s="59" t="s">
        <v>230</v>
      </c>
      <c r="L12" s="60"/>
    </row>
    <row r="13" spans="2:12" ht="15" customHeight="1">
      <c r="B13" s="54">
        <v>46091</v>
      </c>
      <c r="C13" s="55" t="s">
        <v>640</v>
      </c>
      <c r="D13" s="145"/>
      <c r="E13" s="145"/>
      <c r="F13" s="145"/>
      <c r="G13" s="145"/>
      <c r="H13" s="57" t="s">
        <v>656</v>
      </c>
      <c r="I13" s="148"/>
      <c r="J13" s="148"/>
      <c r="K13" s="59" t="s">
        <v>230</v>
      </c>
      <c r="L13" s="60"/>
    </row>
    <row r="14" spans="2:12" ht="15" customHeight="1">
      <c r="B14" s="54">
        <v>46092</v>
      </c>
      <c r="C14" s="55" t="s">
        <v>643</v>
      </c>
      <c r="D14" s="145"/>
      <c r="E14" s="145"/>
      <c r="F14" s="145"/>
      <c r="G14" s="145"/>
      <c r="H14" s="57" t="s">
        <v>657</v>
      </c>
      <c r="I14" s="148"/>
      <c r="J14" s="148"/>
      <c r="K14" s="63" t="s">
        <v>230</v>
      </c>
      <c r="L14" s="60"/>
    </row>
    <row r="15" spans="2:12" ht="14.25" customHeight="1">
      <c r="B15" s="54">
        <v>46093</v>
      </c>
      <c r="C15" s="55" t="s">
        <v>648</v>
      </c>
      <c r="D15" s="145"/>
      <c r="E15" s="145"/>
      <c r="F15" s="145"/>
      <c r="G15" s="145"/>
      <c r="H15" s="57" t="s">
        <v>658</v>
      </c>
      <c r="I15" s="148"/>
      <c r="J15" s="148"/>
      <c r="K15" s="63" t="s">
        <v>230</v>
      </c>
      <c r="L15" s="60"/>
    </row>
    <row r="16" spans="2:12" ht="15" customHeight="1">
      <c r="B16" s="54">
        <v>46094</v>
      </c>
      <c r="C16" s="55" t="s">
        <v>651</v>
      </c>
      <c r="D16" s="145"/>
      <c r="E16" s="145"/>
      <c r="F16" s="145"/>
      <c r="G16" s="145"/>
      <c r="H16" s="57" t="s">
        <v>659</v>
      </c>
      <c r="I16" s="148"/>
      <c r="J16" s="148"/>
      <c r="K16" s="63" t="s">
        <v>230</v>
      </c>
      <c r="L16" s="60"/>
    </row>
    <row r="17" spans="2:12" ht="15" customHeight="1">
      <c r="B17" s="66"/>
      <c r="C17" s="66"/>
      <c r="D17" s="67"/>
      <c r="E17" s="67"/>
      <c r="F17" s="67"/>
      <c r="G17" s="67"/>
      <c r="H17" s="67"/>
      <c r="I17" s="68"/>
      <c r="J17" s="68"/>
      <c r="K17" s="69"/>
    </row>
    <row r="18" spans="2:12" ht="15" customHeight="1">
      <c r="B18" s="66"/>
      <c r="C18" s="66"/>
      <c r="D18" s="67"/>
      <c r="E18" s="67"/>
      <c r="F18" s="67"/>
      <c r="G18" s="67"/>
      <c r="H18" s="67"/>
      <c r="I18" s="68"/>
      <c r="J18" s="68"/>
      <c r="K18" s="69"/>
    </row>
    <row r="19" spans="2:12" ht="15" customHeight="1">
      <c r="B19" s="144" t="str">
        <f>TEXT(Hoja2!$C$2,"d") &amp; " a " &amp; TEXT(Hoja2!$D$2,"d") &amp; " de " &amp; TEXT(Hoja2!$D$2,"mmmm")</f>
        <v>9 a 13 de marzo</v>
      </c>
      <c r="C19" s="144"/>
      <c r="D19" s="70" t="s">
        <v>625</v>
      </c>
      <c r="E19" s="70" t="s">
        <v>626</v>
      </c>
      <c r="F19" s="70" t="s">
        <v>627</v>
      </c>
      <c r="G19" s="70" t="s">
        <v>628</v>
      </c>
      <c r="H19" s="70" t="s">
        <v>629</v>
      </c>
      <c r="I19" s="71" t="s">
        <v>630</v>
      </c>
      <c r="J19" s="71" t="s">
        <v>631</v>
      </c>
      <c r="K19" s="72" t="s">
        <v>128</v>
      </c>
      <c r="L19" s="52" t="s">
        <v>632</v>
      </c>
    </row>
    <row r="20" spans="2:12" ht="15" customHeight="1">
      <c r="B20" s="54">
        <v>46090</v>
      </c>
      <c r="C20" s="55" t="s">
        <v>633</v>
      </c>
      <c r="D20" s="145" t="s">
        <v>660</v>
      </c>
      <c r="E20" s="145" t="s">
        <v>661</v>
      </c>
      <c r="F20" s="145" t="s">
        <v>644</v>
      </c>
      <c r="G20" s="145" t="s">
        <v>637</v>
      </c>
      <c r="H20" s="145" t="s">
        <v>662</v>
      </c>
      <c r="I20" s="148">
        <v>46090</v>
      </c>
      <c r="J20" s="148">
        <v>46091</v>
      </c>
      <c r="K20" s="151" t="s">
        <v>639</v>
      </c>
      <c r="L20" s="152"/>
    </row>
    <row r="21" spans="2:12" ht="15" customHeight="1">
      <c r="B21" s="54">
        <v>46091</v>
      </c>
      <c r="C21" s="55" t="s">
        <v>640</v>
      </c>
      <c r="D21" s="145"/>
      <c r="E21" s="145"/>
      <c r="F21" s="145"/>
      <c r="G21" s="145"/>
      <c r="H21" s="145"/>
      <c r="I21" s="145"/>
      <c r="J21" s="145"/>
      <c r="K21" s="151"/>
      <c r="L21" s="152"/>
    </row>
    <row r="22" spans="2:12" ht="14.25" customHeight="1">
      <c r="B22" s="54">
        <v>46092</v>
      </c>
      <c r="C22" s="55" t="s">
        <v>643</v>
      </c>
      <c r="D22" s="145"/>
      <c r="E22" s="145"/>
      <c r="F22" s="145"/>
      <c r="G22" s="145"/>
      <c r="H22" s="143" t="s">
        <v>663</v>
      </c>
      <c r="I22" s="148">
        <v>46092</v>
      </c>
      <c r="J22" s="148">
        <v>46094</v>
      </c>
      <c r="K22" s="63" t="s">
        <v>230</v>
      </c>
      <c r="L22" s="60"/>
    </row>
    <row r="23" spans="2:12" ht="15" customHeight="1">
      <c r="B23" s="54">
        <v>46093</v>
      </c>
      <c r="C23" s="55" t="s">
        <v>648</v>
      </c>
      <c r="D23" s="145"/>
      <c r="E23" s="145"/>
      <c r="F23" s="145"/>
      <c r="G23" s="145"/>
      <c r="H23" s="143"/>
      <c r="I23" s="143"/>
      <c r="J23" s="143"/>
      <c r="K23" s="63" t="s">
        <v>230</v>
      </c>
      <c r="L23" s="60"/>
    </row>
    <row r="24" spans="2:12" ht="15" customHeight="1">
      <c r="B24" s="54">
        <v>46094</v>
      </c>
      <c r="C24" s="55" t="s">
        <v>651</v>
      </c>
      <c r="D24" s="145"/>
      <c r="E24" s="145"/>
      <c r="F24" s="145"/>
      <c r="G24" s="145"/>
      <c r="H24" s="143"/>
      <c r="I24" s="143"/>
      <c r="J24" s="143"/>
      <c r="K24" s="63" t="s">
        <v>230</v>
      </c>
      <c r="L24" s="60"/>
    </row>
    <row r="25" spans="2:12" ht="15" customHeight="1">
      <c r="B25" s="66"/>
      <c r="C25" s="66"/>
      <c r="D25" s="67"/>
      <c r="E25" s="67"/>
      <c r="F25" s="67"/>
      <c r="G25" s="67"/>
      <c r="H25" s="67"/>
      <c r="I25" s="68"/>
      <c r="J25" s="68"/>
      <c r="K25" s="69"/>
    </row>
    <row r="26" spans="2:12" ht="15" customHeight="1">
      <c r="B26" s="66"/>
      <c r="C26" s="66"/>
      <c r="D26" s="67"/>
      <c r="E26" s="67"/>
      <c r="F26" s="67"/>
      <c r="G26" s="67"/>
      <c r="H26" s="67"/>
      <c r="I26" s="68"/>
      <c r="J26" s="68"/>
      <c r="K26" s="69"/>
    </row>
    <row r="27" spans="2:12" ht="15" customHeight="1">
      <c r="B27" s="144" t="str">
        <f>TEXT(Hoja2!$C$2,"d") &amp; " a " &amp; TEXT(Hoja2!$D$2,"d") &amp; " de " &amp; TEXT(Hoja2!$D$2,"mmmm")</f>
        <v>9 a 13 de marzo</v>
      </c>
      <c r="C27" s="144"/>
      <c r="D27" s="70" t="s">
        <v>625</v>
      </c>
      <c r="E27" s="70" t="s">
        <v>626</v>
      </c>
      <c r="F27" s="70" t="s">
        <v>627</v>
      </c>
      <c r="G27" s="70" t="s">
        <v>628</v>
      </c>
      <c r="H27" s="70" t="s">
        <v>629</v>
      </c>
      <c r="I27" s="71" t="s">
        <v>630</v>
      </c>
      <c r="J27" s="71" t="s">
        <v>631</v>
      </c>
      <c r="K27" s="72" t="s">
        <v>128</v>
      </c>
      <c r="L27" s="52" t="s">
        <v>632</v>
      </c>
    </row>
    <row r="28" spans="2:12" ht="15" customHeight="1">
      <c r="B28" s="73">
        <v>46090</v>
      </c>
      <c r="C28" s="74" t="s">
        <v>633</v>
      </c>
      <c r="D28" s="145" t="s">
        <v>664</v>
      </c>
      <c r="E28" s="145" t="s">
        <v>661</v>
      </c>
      <c r="F28" s="145" t="s">
        <v>665</v>
      </c>
      <c r="G28" s="145" t="s">
        <v>637</v>
      </c>
      <c r="H28" s="56" t="s">
        <v>666</v>
      </c>
      <c r="I28" s="58"/>
      <c r="J28" s="58"/>
      <c r="K28" s="59"/>
      <c r="L28" s="60"/>
    </row>
    <row r="29" spans="2:12" ht="15" customHeight="1">
      <c r="B29" s="73">
        <v>46091</v>
      </c>
      <c r="C29" s="74" t="s">
        <v>640</v>
      </c>
      <c r="D29" s="145"/>
      <c r="E29" s="145"/>
      <c r="F29" s="145"/>
      <c r="G29" s="145"/>
      <c r="H29" s="56" t="s">
        <v>666</v>
      </c>
      <c r="I29" s="58"/>
      <c r="J29" s="58"/>
      <c r="K29" s="59"/>
      <c r="L29" s="60"/>
    </row>
    <row r="30" spans="2:12" ht="15" customHeight="1">
      <c r="B30" s="73">
        <v>46092</v>
      </c>
      <c r="C30" s="74" t="s">
        <v>643</v>
      </c>
      <c r="D30" s="145"/>
      <c r="E30" s="145"/>
      <c r="F30" s="145"/>
      <c r="G30" s="145"/>
      <c r="H30" s="56" t="s">
        <v>666</v>
      </c>
      <c r="I30" s="58"/>
      <c r="J30" s="58"/>
      <c r="K30" s="63"/>
      <c r="L30" s="60"/>
    </row>
    <row r="31" spans="2:12" ht="15" customHeight="1">
      <c r="B31" s="73">
        <v>46093</v>
      </c>
      <c r="C31" s="74" t="s">
        <v>648</v>
      </c>
      <c r="D31" s="145"/>
      <c r="E31" s="145"/>
      <c r="F31" s="145"/>
      <c r="G31" s="145"/>
      <c r="H31" s="56" t="s">
        <v>666</v>
      </c>
      <c r="I31" s="58"/>
      <c r="J31" s="58"/>
      <c r="K31" s="63"/>
      <c r="L31" s="60"/>
    </row>
    <row r="32" spans="2:12" ht="15" customHeight="1">
      <c r="B32" s="73">
        <v>46094</v>
      </c>
      <c r="C32" s="74" t="s">
        <v>651</v>
      </c>
      <c r="D32" s="145"/>
      <c r="E32" s="145"/>
      <c r="F32" s="145"/>
      <c r="G32" s="145"/>
      <c r="H32" s="56" t="s">
        <v>666</v>
      </c>
      <c r="I32" s="58"/>
      <c r="J32" s="58"/>
      <c r="K32" s="63"/>
      <c r="L32" s="60"/>
    </row>
    <row r="33" spans="2:12" ht="15" customHeight="1">
      <c r="B33" s="66"/>
      <c r="C33" s="66"/>
      <c r="D33" s="67"/>
      <c r="E33" s="67"/>
      <c r="F33" s="67"/>
      <c r="G33" s="67"/>
      <c r="H33" s="67"/>
      <c r="I33" s="68"/>
      <c r="J33" s="68"/>
      <c r="K33" s="69"/>
    </row>
    <row r="34" spans="2:12" ht="15" customHeight="1">
      <c r="B34" s="66"/>
      <c r="C34" s="66"/>
      <c r="D34" s="67"/>
      <c r="E34" s="67"/>
      <c r="F34" s="67"/>
      <c r="G34" s="67"/>
      <c r="H34" s="67"/>
      <c r="I34" s="68"/>
      <c r="J34" s="68"/>
      <c r="K34" s="69"/>
    </row>
    <row r="35" spans="2:12" ht="15" customHeight="1">
      <c r="B35" s="144" t="str">
        <f>TEXT(Hoja2!$C$2,"d") &amp; " a " &amp; TEXT(Hoja2!$D$2,"d") &amp; " de " &amp; TEXT(Hoja2!$D$2,"mmmm")</f>
        <v>9 a 13 de marzo</v>
      </c>
      <c r="C35" s="144"/>
      <c r="D35" s="70" t="s">
        <v>625</v>
      </c>
      <c r="E35" s="70" t="s">
        <v>626</v>
      </c>
      <c r="F35" s="70" t="s">
        <v>627</v>
      </c>
      <c r="G35" s="70" t="s">
        <v>628</v>
      </c>
      <c r="H35" s="70" t="s">
        <v>629</v>
      </c>
      <c r="I35" s="71" t="s">
        <v>630</v>
      </c>
      <c r="J35" s="71" t="s">
        <v>631</v>
      </c>
      <c r="K35" s="72" t="s">
        <v>128</v>
      </c>
      <c r="L35" s="52" t="s">
        <v>632</v>
      </c>
    </row>
    <row r="36" spans="2:12" ht="14.25" customHeight="1">
      <c r="B36" s="54">
        <v>46090</v>
      </c>
      <c r="C36" s="55" t="s">
        <v>633</v>
      </c>
      <c r="D36" s="145" t="s">
        <v>667</v>
      </c>
      <c r="E36" s="145" t="s">
        <v>661</v>
      </c>
      <c r="F36" s="143" t="s">
        <v>668</v>
      </c>
      <c r="G36" s="145" t="s">
        <v>669</v>
      </c>
      <c r="H36" s="62" t="s">
        <v>670</v>
      </c>
      <c r="I36" s="58">
        <v>46090</v>
      </c>
      <c r="J36" s="58">
        <v>46091</v>
      </c>
      <c r="K36" s="59"/>
      <c r="L36" s="60"/>
    </row>
    <row r="37" spans="2:12" ht="15" customHeight="1">
      <c r="B37" s="54">
        <v>46091</v>
      </c>
      <c r="C37" s="55" t="s">
        <v>640</v>
      </c>
      <c r="D37" s="145"/>
      <c r="E37" s="145"/>
      <c r="F37" s="143"/>
      <c r="G37" s="145"/>
      <c r="H37" s="62" t="s">
        <v>670</v>
      </c>
      <c r="I37" s="58">
        <v>46090</v>
      </c>
      <c r="J37" s="58">
        <v>46091</v>
      </c>
      <c r="K37" s="59"/>
      <c r="L37" s="60"/>
    </row>
    <row r="38" spans="2:12" ht="15" customHeight="1">
      <c r="B38" s="54">
        <v>46092</v>
      </c>
      <c r="C38" s="55" t="s">
        <v>643</v>
      </c>
      <c r="D38" s="145"/>
      <c r="E38" s="145"/>
      <c r="F38" s="143"/>
      <c r="G38" s="145"/>
      <c r="H38" s="57" t="s">
        <v>671</v>
      </c>
      <c r="I38" s="58">
        <v>46092</v>
      </c>
      <c r="J38" s="58">
        <v>46092</v>
      </c>
      <c r="K38" s="63"/>
      <c r="L38" s="60"/>
    </row>
    <row r="39" spans="2:12" ht="15" customHeight="1">
      <c r="B39" s="54">
        <v>46093</v>
      </c>
      <c r="C39" s="55" t="s">
        <v>648</v>
      </c>
      <c r="D39" s="145"/>
      <c r="E39" s="145"/>
      <c r="F39" s="143"/>
      <c r="G39" s="145"/>
      <c r="H39" s="57" t="s">
        <v>672</v>
      </c>
      <c r="I39" s="58">
        <v>46093</v>
      </c>
      <c r="J39" s="58">
        <v>46094</v>
      </c>
      <c r="K39" s="63"/>
      <c r="L39" s="60"/>
    </row>
    <row r="40" spans="2:12" ht="15" customHeight="1">
      <c r="B40" s="54">
        <v>46094</v>
      </c>
      <c r="C40" s="55" t="s">
        <v>651</v>
      </c>
      <c r="D40" s="145"/>
      <c r="E40" s="145"/>
      <c r="F40" s="143"/>
      <c r="G40" s="145"/>
      <c r="H40" s="57" t="s">
        <v>671</v>
      </c>
      <c r="I40" s="58">
        <v>46093</v>
      </c>
      <c r="J40" s="58">
        <v>46094</v>
      </c>
      <c r="K40" s="63"/>
      <c r="L40" s="60"/>
    </row>
    <row r="41" spans="2:12" ht="15" customHeight="1">
      <c r="B41" s="66"/>
      <c r="C41" s="66"/>
      <c r="D41" s="67"/>
      <c r="E41" s="67"/>
      <c r="F41" s="67"/>
      <c r="G41" s="67"/>
      <c r="H41" s="67"/>
      <c r="I41" s="68"/>
      <c r="J41" s="68"/>
      <c r="K41" s="69"/>
    </row>
    <row r="42" spans="2:12" ht="15" customHeight="1">
      <c r="B42" s="66"/>
      <c r="C42" s="66"/>
      <c r="D42" s="67"/>
      <c r="E42" s="67"/>
      <c r="F42" s="67"/>
      <c r="G42" s="67"/>
      <c r="H42" s="67"/>
      <c r="I42" s="68"/>
      <c r="J42" s="68"/>
      <c r="K42" s="69"/>
    </row>
    <row r="43" spans="2:12" ht="15" customHeight="1">
      <c r="B43" s="144" t="str">
        <f>TEXT(Hoja2!$C$2,"d") &amp; " a " &amp; TEXT(Hoja2!$D$2,"d") &amp; " de " &amp; TEXT(Hoja2!$D$2,"mmmm")</f>
        <v>9 a 13 de marzo</v>
      </c>
      <c r="C43" s="144"/>
      <c r="D43" s="70" t="s">
        <v>625</v>
      </c>
      <c r="E43" s="70" t="s">
        <v>626</v>
      </c>
      <c r="F43" s="70" t="s">
        <v>627</v>
      </c>
      <c r="G43" s="70" t="s">
        <v>628</v>
      </c>
      <c r="H43" s="70" t="s">
        <v>629</v>
      </c>
      <c r="I43" s="71" t="s">
        <v>630</v>
      </c>
      <c r="J43" s="71" t="s">
        <v>631</v>
      </c>
      <c r="K43" s="72" t="s">
        <v>128</v>
      </c>
      <c r="L43" s="52" t="s">
        <v>632</v>
      </c>
    </row>
    <row r="44" spans="2:12" ht="14.25" customHeight="1">
      <c r="B44" s="54">
        <v>46090</v>
      </c>
      <c r="C44" s="55" t="s">
        <v>633</v>
      </c>
      <c r="D44" s="145" t="s">
        <v>375</v>
      </c>
      <c r="E44" s="145" t="s">
        <v>673</v>
      </c>
      <c r="F44" s="145" t="s">
        <v>674</v>
      </c>
      <c r="G44" s="143" t="s">
        <v>637</v>
      </c>
      <c r="H44" s="62" t="s">
        <v>675</v>
      </c>
      <c r="I44" s="58">
        <v>46090</v>
      </c>
      <c r="J44" s="58">
        <v>46091</v>
      </c>
      <c r="K44" s="59" t="s">
        <v>230</v>
      </c>
      <c r="L44" s="60"/>
    </row>
    <row r="45" spans="2:12" ht="15" customHeight="1">
      <c r="B45" s="54">
        <v>46091</v>
      </c>
      <c r="C45" s="55" t="s">
        <v>640</v>
      </c>
      <c r="D45" s="145"/>
      <c r="E45" s="145"/>
      <c r="F45" s="145"/>
      <c r="G45" s="143"/>
      <c r="H45" s="62" t="s">
        <v>676</v>
      </c>
      <c r="I45" s="58">
        <v>46091</v>
      </c>
      <c r="J45" s="58">
        <v>46092</v>
      </c>
      <c r="K45" s="59" t="s">
        <v>230</v>
      </c>
      <c r="L45" s="60" t="s">
        <v>677</v>
      </c>
    </row>
    <row r="46" spans="2:12" ht="15" customHeight="1">
      <c r="B46" s="54">
        <v>46092</v>
      </c>
      <c r="C46" s="55" t="s">
        <v>643</v>
      </c>
      <c r="D46" s="145"/>
      <c r="E46" s="145"/>
      <c r="F46" s="145"/>
      <c r="G46" s="143"/>
      <c r="H46" s="62" t="s">
        <v>678</v>
      </c>
      <c r="I46" s="58">
        <v>46092</v>
      </c>
      <c r="J46" s="58">
        <v>46093</v>
      </c>
      <c r="K46" s="63"/>
      <c r="L46" s="60"/>
    </row>
    <row r="47" spans="2:12" ht="15" customHeight="1">
      <c r="B47" s="54">
        <v>46093</v>
      </c>
      <c r="C47" s="55" t="s">
        <v>648</v>
      </c>
      <c r="D47" s="145"/>
      <c r="E47" s="145"/>
      <c r="F47" s="145"/>
      <c r="G47" s="143"/>
      <c r="H47" s="62" t="s">
        <v>678</v>
      </c>
      <c r="I47" s="58">
        <v>46093</v>
      </c>
      <c r="J47" s="58">
        <v>46094</v>
      </c>
      <c r="K47" s="63"/>
      <c r="L47" s="60"/>
    </row>
    <row r="48" spans="2:12" ht="15" customHeight="1">
      <c r="B48" s="54">
        <v>46094</v>
      </c>
      <c r="C48" s="55" t="s">
        <v>651</v>
      </c>
      <c r="D48" s="145"/>
      <c r="E48" s="145"/>
      <c r="F48" s="145"/>
      <c r="G48" s="143"/>
      <c r="H48" s="62" t="s">
        <v>678</v>
      </c>
      <c r="I48" s="58">
        <v>46094</v>
      </c>
      <c r="J48" s="58">
        <v>46094</v>
      </c>
      <c r="K48" s="63"/>
      <c r="L48" s="60"/>
    </row>
    <row r="49" spans="2:12" ht="15" customHeight="1">
      <c r="B49" s="66"/>
      <c r="C49" s="66"/>
      <c r="D49" s="67"/>
      <c r="E49" s="67"/>
      <c r="F49" s="67"/>
      <c r="G49" s="67"/>
      <c r="H49" s="67"/>
      <c r="I49" s="68"/>
      <c r="J49" s="68"/>
      <c r="K49" s="69"/>
    </row>
    <row r="50" spans="2:12" ht="15" customHeight="1">
      <c r="B50" s="66"/>
      <c r="C50" s="66"/>
      <c r="D50" s="67"/>
      <c r="E50" s="67"/>
      <c r="F50" s="67"/>
      <c r="G50" s="67"/>
      <c r="H50" s="67"/>
      <c r="I50" s="68"/>
      <c r="J50" s="68"/>
      <c r="K50" s="69"/>
    </row>
    <row r="51" spans="2:12" ht="15" customHeight="1">
      <c r="B51" s="144" t="str">
        <f>TEXT(Hoja2!$C$2,"d") &amp; " a " &amp; TEXT(Hoja2!$D$2,"d") &amp; " de " &amp; TEXT(Hoja2!$D$2,"mmmm")</f>
        <v>9 a 13 de marzo</v>
      </c>
      <c r="C51" s="144"/>
      <c r="D51" s="70" t="s">
        <v>625</v>
      </c>
      <c r="E51" s="70" t="s">
        <v>626</v>
      </c>
      <c r="F51" s="70" t="s">
        <v>627</v>
      </c>
      <c r="G51" s="70" t="s">
        <v>628</v>
      </c>
      <c r="H51" s="70" t="s">
        <v>629</v>
      </c>
      <c r="I51" s="71" t="s">
        <v>630</v>
      </c>
      <c r="J51" s="71" t="s">
        <v>631</v>
      </c>
      <c r="K51" s="72" t="s">
        <v>128</v>
      </c>
      <c r="L51" s="52" t="s">
        <v>632</v>
      </c>
    </row>
    <row r="52" spans="2:12" ht="14.25" customHeight="1">
      <c r="B52" s="54">
        <v>46090</v>
      </c>
      <c r="C52" s="55" t="s">
        <v>633</v>
      </c>
      <c r="D52" s="145" t="s">
        <v>679</v>
      </c>
      <c r="E52" s="145" t="s">
        <v>673</v>
      </c>
      <c r="F52" s="145" t="s">
        <v>636</v>
      </c>
      <c r="G52" s="143" t="s">
        <v>637</v>
      </c>
      <c r="H52" s="62" t="s">
        <v>680</v>
      </c>
      <c r="I52" s="58">
        <f>B52</f>
        <v>46090</v>
      </c>
      <c r="J52" s="58">
        <f>B53</f>
        <v>46091</v>
      </c>
      <c r="K52" s="59"/>
      <c r="L52" s="60"/>
    </row>
    <row r="53" spans="2:12" ht="15" customHeight="1">
      <c r="B53" s="54">
        <v>46091</v>
      </c>
      <c r="C53" s="55" t="s">
        <v>640</v>
      </c>
      <c r="D53" s="145"/>
      <c r="E53" s="145"/>
      <c r="F53" s="145"/>
      <c r="G53" s="143"/>
      <c r="H53" s="62" t="s">
        <v>680</v>
      </c>
      <c r="I53" s="58">
        <f>B53</f>
        <v>46091</v>
      </c>
      <c r="J53" s="58">
        <f>B54</f>
        <v>46092</v>
      </c>
      <c r="K53" s="59"/>
      <c r="L53" s="60"/>
    </row>
    <row r="54" spans="2:12" ht="15" customHeight="1">
      <c r="B54" s="54">
        <v>46092</v>
      </c>
      <c r="C54" s="55" t="s">
        <v>643</v>
      </c>
      <c r="D54" s="145"/>
      <c r="E54" s="145"/>
      <c r="F54" s="145"/>
      <c r="G54" s="143"/>
      <c r="H54" s="62" t="s">
        <v>680</v>
      </c>
      <c r="I54" s="58">
        <f>B54</f>
        <v>46092</v>
      </c>
      <c r="J54" s="58">
        <f>B55</f>
        <v>46093</v>
      </c>
      <c r="K54" s="63"/>
      <c r="L54" s="60"/>
    </row>
    <row r="55" spans="2:12" ht="15" customHeight="1">
      <c r="B55" s="54">
        <v>46093</v>
      </c>
      <c r="C55" s="55" t="s">
        <v>648</v>
      </c>
      <c r="D55" s="145"/>
      <c r="E55" s="145"/>
      <c r="F55" s="145"/>
      <c r="G55" s="143"/>
      <c r="H55" s="62" t="s">
        <v>680</v>
      </c>
      <c r="I55" s="58">
        <f>B55</f>
        <v>46093</v>
      </c>
      <c r="J55" s="58">
        <f>B56</f>
        <v>46094</v>
      </c>
      <c r="K55" s="63"/>
      <c r="L55" s="60"/>
    </row>
    <row r="56" spans="2:12" ht="15" customHeight="1">
      <c r="B56" s="54">
        <v>46094</v>
      </c>
      <c r="C56" s="55" t="s">
        <v>651</v>
      </c>
      <c r="D56" s="145"/>
      <c r="E56" s="145"/>
      <c r="F56" s="145"/>
      <c r="G56" s="143"/>
      <c r="H56" s="62" t="s">
        <v>680</v>
      </c>
      <c r="I56" s="58">
        <f>B56</f>
        <v>46094</v>
      </c>
      <c r="J56" s="58">
        <f>J55</f>
        <v>46094</v>
      </c>
      <c r="K56" s="63"/>
      <c r="L56" s="60"/>
    </row>
    <row r="57" spans="2:12" ht="15" customHeight="1">
      <c r="B57" s="66"/>
      <c r="C57" s="66"/>
      <c r="D57" s="67"/>
      <c r="E57" s="67"/>
      <c r="F57" s="67"/>
      <c r="G57" s="67"/>
      <c r="H57" s="67"/>
      <c r="I57" s="68"/>
      <c r="J57" s="68"/>
      <c r="K57" s="69"/>
    </row>
    <row r="58" spans="2:12" ht="15" customHeight="1">
      <c r="B58" s="66"/>
      <c r="C58" s="66"/>
      <c r="D58" s="67"/>
      <c r="E58" s="67"/>
      <c r="F58" s="67"/>
      <c r="G58" s="67"/>
      <c r="H58" s="67"/>
      <c r="I58" s="68"/>
      <c r="J58" s="68"/>
      <c r="K58" s="69"/>
    </row>
    <row r="59" spans="2:12" ht="15" customHeight="1">
      <c r="B59" s="144" t="str">
        <f>TEXT(Hoja2!$C$2,"d") &amp; " a " &amp; TEXT(Hoja2!$D$2,"d") &amp; " de " &amp; TEXT(Hoja2!$D$2,"mmmm")</f>
        <v>9 a 13 de marzo</v>
      </c>
      <c r="C59" s="144"/>
      <c r="D59" s="70" t="s">
        <v>625</v>
      </c>
      <c r="E59" s="70" t="s">
        <v>626</v>
      </c>
      <c r="F59" s="70" t="s">
        <v>627</v>
      </c>
      <c r="G59" s="70" t="s">
        <v>628</v>
      </c>
      <c r="H59" s="70" t="s">
        <v>629</v>
      </c>
      <c r="I59" s="71" t="s">
        <v>630</v>
      </c>
      <c r="J59" s="71" t="s">
        <v>631</v>
      </c>
      <c r="K59" s="72" t="s">
        <v>128</v>
      </c>
      <c r="L59" s="52" t="s">
        <v>632</v>
      </c>
    </row>
    <row r="60" spans="2:12" ht="14.25" customHeight="1">
      <c r="B60" s="54">
        <v>46090</v>
      </c>
      <c r="C60" s="55" t="s">
        <v>633</v>
      </c>
      <c r="D60" s="145" t="s">
        <v>681</v>
      </c>
      <c r="E60" s="145" t="s">
        <v>673</v>
      </c>
      <c r="F60" s="145" t="s">
        <v>636</v>
      </c>
      <c r="G60" s="143" t="s">
        <v>637</v>
      </c>
      <c r="H60" s="75" t="s">
        <v>682</v>
      </c>
      <c r="I60" s="58">
        <v>46090</v>
      </c>
      <c r="J60" s="58">
        <v>46336</v>
      </c>
      <c r="K60" s="59"/>
      <c r="L60" s="60"/>
    </row>
    <row r="61" spans="2:12" ht="15" customHeight="1">
      <c r="B61" s="54">
        <v>46091</v>
      </c>
      <c r="C61" s="55" t="s">
        <v>640</v>
      </c>
      <c r="D61" s="145"/>
      <c r="E61" s="145"/>
      <c r="F61" s="145"/>
      <c r="G61" s="143"/>
      <c r="H61" s="75" t="s">
        <v>682</v>
      </c>
      <c r="I61" s="58">
        <v>46091</v>
      </c>
      <c r="J61" s="58">
        <v>46337</v>
      </c>
      <c r="K61" s="59"/>
      <c r="L61" s="60"/>
    </row>
    <row r="62" spans="2:12" ht="15" customHeight="1">
      <c r="B62" s="54">
        <v>46092</v>
      </c>
      <c r="C62" s="55" t="s">
        <v>643</v>
      </c>
      <c r="D62" s="145"/>
      <c r="E62" s="145"/>
      <c r="F62" s="145"/>
      <c r="G62" s="143"/>
      <c r="H62" s="75" t="s">
        <v>682</v>
      </c>
      <c r="I62" s="58">
        <v>46092</v>
      </c>
      <c r="J62" s="58">
        <v>46338</v>
      </c>
      <c r="K62" s="63"/>
      <c r="L62" s="60"/>
    </row>
    <row r="63" spans="2:12" ht="15" customHeight="1">
      <c r="B63" s="54">
        <v>46093</v>
      </c>
      <c r="C63" s="55" t="s">
        <v>648</v>
      </c>
      <c r="D63" s="145"/>
      <c r="E63" s="145"/>
      <c r="F63" s="145"/>
      <c r="G63" s="143"/>
      <c r="H63" s="75" t="s">
        <v>682</v>
      </c>
      <c r="I63" s="58">
        <v>46093</v>
      </c>
      <c r="J63" s="58">
        <v>46339</v>
      </c>
      <c r="K63" s="63"/>
      <c r="L63" s="60"/>
    </row>
    <row r="64" spans="2:12" ht="15" customHeight="1">
      <c r="B64" s="54">
        <v>46094</v>
      </c>
      <c r="C64" s="55" t="s">
        <v>651</v>
      </c>
      <c r="D64" s="145"/>
      <c r="E64" s="145"/>
      <c r="F64" s="145"/>
      <c r="G64" s="143"/>
      <c r="H64" s="75" t="s">
        <v>682</v>
      </c>
      <c r="I64" s="58">
        <v>46094</v>
      </c>
      <c r="J64" s="58">
        <v>46340</v>
      </c>
      <c r="K64" s="63"/>
      <c r="L64" s="60"/>
    </row>
    <row r="65" spans="2:12" ht="15" customHeight="1">
      <c r="B65" s="76"/>
      <c r="C65" s="66"/>
      <c r="D65" s="77"/>
      <c r="E65" s="77"/>
      <c r="F65" s="77"/>
      <c r="G65" s="78"/>
      <c r="H65" s="77"/>
      <c r="I65" s="79"/>
      <c r="J65" s="79"/>
      <c r="K65" s="80"/>
    </row>
    <row r="66" spans="2:12" ht="15" customHeight="1">
      <c r="B66" s="76"/>
      <c r="C66" s="66"/>
      <c r="D66" s="77"/>
      <c r="E66" s="77"/>
      <c r="F66" s="77"/>
      <c r="G66" s="78"/>
      <c r="H66" s="77"/>
      <c r="I66" s="79"/>
      <c r="J66" s="79"/>
      <c r="K66" s="80"/>
    </row>
    <row r="67" spans="2:12" ht="15" customHeight="1">
      <c r="B67" s="144" t="str">
        <f>TEXT(Hoja2!$C$2,"d") &amp; " a " &amp; TEXT(Hoja2!$D$2,"d") &amp; " de " &amp; TEXT(Hoja2!$D$2,"mmmm")</f>
        <v>9 a 13 de marzo</v>
      </c>
      <c r="C67" s="144"/>
      <c r="D67" s="70" t="s">
        <v>625</v>
      </c>
      <c r="E67" s="70" t="s">
        <v>626</v>
      </c>
      <c r="F67" s="70" t="s">
        <v>627</v>
      </c>
      <c r="G67" s="70" t="s">
        <v>628</v>
      </c>
      <c r="H67" s="70" t="s">
        <v>629</v>
      </c>
      <c r="I67" s="71" t="s">
        <v>630</v>
      </c>
      <c r="J67" s="71" t="s">
        <v>631</v>
      </c>
      <c r="K67" s="72" t="s">
        <v>128</v>
      </c>
      <c r="L67" s="52" t="s">
        <v>632</v>
      </c>
    </row>
    <row r="68" spans="2:12" ht="14.25" customHeight="1">
      <c r="B68" s="54">
        <v>46090</v>
      </c>
      <c r="C68" s="55" t="s">
        <v>633</v>
      </c>
      <c r="D68" s="145" t="s">
        <v>683</v>
      </c>
      <c r="E68" s="145" t="s">
        <v>684</v>
      </c>
      <c r="F68" s="145" t="s">
        <v>636</v>
      </c>
      <c r="G68" s="143" t="s">
        <v>637</v>
      </c>
      <c r="H68" s="149" t="s">
        <v>685</v>
      </c>
      <c r="I68" s="148">
        <v>46090</v>
      </c>
      <c r="J68" s="148">
        <v>46091</v>
      </c>
      <c r="K68" s="59" t="s">
        <v>639</v>
      </c>
      <c r="L68" s="60"/>
    </row>
    <row r="69" spans="2:12" ht="15" customHeight="1">
      <c r="B69" s="54">
        <v>46091</v>
      </c>
      <c r="C69" s="55" t="s">
        <v>640</v>
      </c>
      <c r="D69" s="145"/>
      <c r="E69" s="145"/>
      <c r="F69" s="145"/>
      <c r="G69" s="143"/>
      <c r="H69" s="149"/>
      <c r="I69" s="149"/>
      <c r="J69" s="149"/>
      <c r="K69" s="59" t="s">
        <v>639</v>
      </c>
      <c r="L69" s="60"/>
    </row>
    <row r="70" spans="2:12" ht="15" customHeight="1">
      <c r="B70" s="54">
        <v>46092</v>
      </c>
      <c r="C70" s="55" t="s">
        <v>643</v>
      </c>
      <c r="D70" s="145"/>
      <c r="E70" s="145"/>
      <c r="F70" s="145"/>
      <c r="G70" s="143"/>
      <c r="H70" s="150" t="s">
        <v>686</v>
      </c>
      <c r="I70" s="148">
        <v>46092</v>
      </c>
      <c r="J70" s="148">
        <v>46094</v>
      </c>
      <c r="K70" s="63" t="s">
        <v>230</v>
      </c>
      <c r="L70" s="60"/>
    </row>
    <row r="71" spans="2:12" ht="15" customHeight="1">
      <c r="B71" s="54">
        <v>46093</v>
      </c>
      <c r="C71" s="55" t="s">
        <v>648</v>
      </c>
      <c r="D71" s="145"/>
      <c r="E71" s="145"/>
      <c r="F71" s="145"/>
      <c r="G71" s="143"/>
      <c r="H71" s="150"/>
      <c r="I71" s="150"/>
      <c r="J71" s="150"/>
      <c r="K71" s="63" t="s">
        <v>230</v>
      </c>
      <c r="L71" s="60"/>
    </row>
    <row r="72" spans="2:12" ht="15" customHeight="1">
      <c r="B72" s="54">
        <v>46094</v>
      </c>
      <c r="C72" s="55" t="s">
        <v>651</v>
      </c>
      <c r="D72" s="145"/>
      <c r="E72" s="145"/>
      <c r="F72" s="145"/>
      <c r="G72" s="143"/>
      <c r="H72" s="150"/>
      <c r="I72" s="150"/>
      <c r="J72" s="150"/>
      <c r="K72" s="63" t="s">
        <v>230</v>
      </c>
      <c r="L72" s="60"/>
    </row>
    <row r="73" spans="2:12" ht="15" customHeight="1">
      <c r="B73" s="76"/>
      <c r="C73" s="66"/>
      <c r="D73" s="77"/>
      <c r="E73" s="77"/>
      <c r="F73" s="77"/>
      <c r="G73" s="78"/>
      <c r="H73" s="77"/>
      <c r="I73" s="79"/>
      <c r="J73" s="79"/>
      <c r="K73" s="80"/>
    </row>
    <row r="74" spans="2:12" ht="15" customHeight="1">
      <c r="B74" s="76"/>
      <c r="C74" s="66"/>
      <c r="D74" s="77"/>
      <c r="E74" s="77"/>
      <c r="F74" s="77"/>
      <c r="G74" s="78"/>
      <c r="H74" s="77"/>
      <c r="I74" s="79"/>
      <c r="J74" s="79"/>
      <c r="K74" s="80"/>
    </row>
    <row r="75" spans="2:12" ht="15" customHeight="1">
      <c r="B75" s="144" t="str">
        <f>TEXT(Hoja2!$C$2,"d") &amp; " a " &amp; TEXT(Hoja2!$D$2,"d") &amp; " de " &amp; TEXT(Hoja2!$D$2,"mmmm")</f>
        <v>9 a 13 de marzo</v>
      </c>
      <c r="C75" s="144"/>
      <c r="D75" s="70" t="s">
        <v>625</v>
      </c>
      <c r="E75" s="70" t="s">
        <v>626</v>
      </c>
      <c r="F75" s="70" t="s">
        <v>627</v>
      </c>
      <c r="G75" s="70" t="s">
        <v>628</v>
      </c>
      <c r="H75" s="70" t="s">
        <v>629</v>
      </c>
      <c r="I75" s="71" t="s">
        <v>630</v>
      </c>
      <c r="J75" s="71" t="s">
        <v>631</v>
      </c>
      <c r="K75" s="72" t="s">
        <v>128</v>
      </c>
      <c r="L75" s="52" t="s">
        <v>632</v>
      </c>
    </row>
    <row r="76" spans="2:12" ht="14.25" customHeight="1">
      <c r="B76" s="54">
        <v>46090</v>
      </c>
      <c r="C76" s="55" t="s">
        <v>633</v>
      </c>
      <c r="D76" s="145" t="s">
        <v>687</v>
      </c>
      <c r="E76" s="145" t="s">
        <v>688</v>
      </c>
      <c r="F76" s="145" t="s">
        <v>636</v>
      </c>
      <c r="G76" s="143" t="s">
        <v>637</v>
      </c>
      <c r="H76" s="81"/>
      <c r="I76" s="58"/>
      <c r="J76" s="58"/>
      <c r="K76" s="59"/>
      <c r="L76" s="60"/>
    </row>
    <row r="77" spans="2:12" ht="15" customHeight="1">
      <c r="B77" s="54">
        <v>46091</v>
      </c>
      <c r="C77" s="55" t="s">
        <v>640</v>
      </c>
      <c r="D77" s="145"/>
      <c r="E77" s="145"/>
      <c r="F77" s="145"/>
      <c r="G77" s="143"/>
      <c r="H77" s="81"/>
      <c r="I77" s="58"/>
      <c r="J77" s="58"/>
      <c r="K77" s="59"/>
      <c r="L77" s="60"/>
    </row>
    <row r="78" spans="2:12" ht="15" customHeight="1">
      <c r="B78" s="54">
        <v>46092</v>
      </c>
      <c r="C78" s="55" t="s">
        <v>643</v>
      </c>
      <c r="D78" s="145"/>
      <c r="E78" s="145"/>
      <c r="F78" s="145"/>
      <c r="G78" s="143"/>
      <c r="H78" s="81"/>
      <c r="I78" s="58"/>
      <c r="J78" s="58"/>
      <c r="K78" s="63"/>
      <c r="L78" s="60"/>
    </row>
    <row r="79" spans="2:12" ht="14.25" customHeight="1">
      <c r="B79" s="54">
        <v>46093</v>
      </c>
      <c r="C79" s="55" t="s">
        <v>648</v>
      </c>
      <c r="D79" s="145"/>
      <c r="E79" s="145"/>
      <c r="F79" s="145"/>
      <c r="G79" s="143"/>
      <c r="H79" s="147" t="s">
        <v>689</v>
      </c>
      <c r="I79" s="148">
        <v>46093</v>
      </c>
      <c r="J79" s="148">
        <v>46094</v>
      </c>
      <c r="K79" s="63"/>
      <c r="L79" s="60" t="s">
        <v>690</v>
      </c>
    </row>
    <row r="80" spans="2:12" ht="15" customHeight="1">
      <c r="B80" s="54">
        <v>46094</v>
      </c>
      <c r="C80" s="55" t="s">
        <v>651</v>
      </c>
      <c r="D80" s="145"/>
      <c r="E80" s="145"/>
      <c r="F80" s="145"/>
      <c r="G80" s="143"/>
      <c r="H80" s="147"/>
      <c r="I80" s="147"/>
      <c r="J80" s="147"/>
      <c r="K80" s="63"/>
      <c r="L80" s="60"/>
    </row>
    <row r="81" spans="2:12" ht="15" customHeight="1">
      <c r="B81" s="76"/>
      <c r="C81" s="66"/>
      <c r="D81" s="77"/>
      <c r="E81" s="77"/>
      <c r="F81" s="77"/>
      <c r="G81" s="78"/>
      <c r="H81" s="77"/>
      <c r="I81" s="79"/>
      <c r="J81" s="79"/>
      <c r="K81" s="80"/>
    </row>
    <row r="82" spans="2:12" ht="15" customHeight="1">
      <c r="B82" s="66"/>
      <c r="C82" s="66"/>
      <c r="D82" s="77"/>
      <c r="E82" s="77"/>
      <c r="F82" s="77"/>
      <c r="G82" s="78"/>
      <c r="H82" s="77"/>
      <c r="I82" s="79"/>
      <c r="J82" s="79"/>
      <c r="K82" s="80"/>
    </row>
    <row r="83" spans="2:12" ht="15" customHeight="1">
      <c r="B83" s="144" t="str">
        <f>TEXT(Hoja2!$C$2,"d") &amp; " a " &amp; TEXT(Hoja2!$D$2,"d") &amp; " de " &amp; TEXT(Hoja2!$D$2,"mmmm")</f>
        <v>9 a 13 de marzo</v>
      </c>
      <c r="C83" s="144"/>
      <c r="D83" s="70" t="s">
        <v>625</v>
      </c>
      <c r="E83" s="70" t="s">
        <v>626</v>
      </c>
      <c r="F83" s="70" t="s">
        <v>627</v>
      </c>
      <c r="G83" s="70" t="s">
        <v>628</v>
      </c>
      <c r="H83" s="70" t="s">
        <v>629</v>
      </c>
      <c r="I83" s="71" t="s">
        <v>630</v>
      </c>
      <c r="J83" s="71" t="s">
        <v>631</v>
      </c>
      <c r="K83" s="72" t="s">
        <v>128</v>
      </c>
      <c r="L83" s="52" t="s">
        <v>632</v>
      </c>
    </row>
    <row r="84" spans="2:12" ht="14.25" customHeight="1">
      <c r="B84" s="54">
        <v>46090</v>
      </c>
      <c r="C84" s="55" t="s">
        <v>633</v>
      </c>
      <c r="D84" s="145" t="s">
        <v>691</v>
      </c>
      <c r="E84" s="145" t="s">
        <v>688</v>
      </c>
      <c r="F84" s="145" t="s">
        <v>636</v>
      </c>
      <c r="G84" s="143" t="s">
        <v>637</v>
      </c>
      <c r="H84" s="81"/>
      <c r="I84" s="58"/>
      <c r="J84" s="58"/>
      <c r="K84" s="59"/>
      <c r="L84" s="60"/>
    </row>
    <row r="85" spans="2:12" ht="15" customHeight="1">
      <c r="B85" s="54">
        <v>46091</v>
      </c>
      <c r="C85" s="55" t="s">
        <v>640</v>
      </c>
      <c r="D85" s="145"/>
      <c r="E85" s="145"/>
      <c r="F85" s="145"/>
      <c r="G85" s="143"/>
      <c r="H85" s="81"/>
      <c r="I85" s="58"/>
      <c r="J85" s="58"/>
      <c r="K85" s="59"/>
      <c r="L85" s="60"/>
    </row>
    <row r="86" spans="2:12" ht="15" customHeight="1">
      <c r="B86" s="54">
        <v>46092</v>
      </c>
      <c r="C86" s="55" t="s">
        <v>643</v>
      </c>
      <c r="D86" s="145"/>
      <c r="E86" s="145"/>
      <c r="F86" s="145"/>
      <c r="G86" s="143"/>
      <c r="H86" s="81"/>
      <c r="I86" s="58"/>
      <c r="J86" s="58"/>
      <c r="K86" s="63"/>
      <c r="L86" s="60"/>
    </row>
    <row r="87" spans="2:12" ht="15" customHeight="1">
      <c r="B87" s="54">
        <v>46093</v>
      </c>
      <c r="C87" s="55" t="s">
        <v>648</v>
      </c>
      <c r="D87" s="145"/>
      <c r="E87" s="145"/>
      <c r="F87" s="145"/>
      <c r="G87" s="143"/>
      <c r="H87" s="82"/>
      <c r="I87" s="83"/>
      <c r="J87" s="83"/>
      <c r="K87" s="63"/>
      <c r="L87" s="60"/>
    </row>
    <row r="88" spans="2:12" ht="15" customHeight="1">
      <c r="B88" s="54">
        <v>46094</v>
      </c>
      <c r="C88" s="55" t="s">
        <v>651</v>
      </c>
      <c r="D88" s="145"/>
      <c r="E88" s="145"/>
      <c r="F88" s="145"/>
      <c r="G88" s="143"/>
      <c r="H88" s="82"/>
      <c r="I88" s="83"/>
      <c r="J88" s="83"/>
      <c r="K88" s="63"/>
      <c r="L88" s="60"/>
    </row>
    <row r="89" spans="2:12" ht="15" customHeight="1">
      <c r="B89" s="76"/>
      <c r="C89" s="66"/>
      <c r="D89" s="77"/>
      <c r="E89" s="77"/>
      <c r="F89" s="77"/>
      <c r="G89" s="78"/>
      <c r="H89" s="77"/>
      <c r="I89" s="79"/>
      <c r="J89" s="79"/>
      <c r="K89" s="80"/>
    </row>
    <row r="90" spans="2:12" ht="15" customHeight="1">
      <c r="B90" s="66"/>
      <c r="C90" s="66"/>
      <c r="D90" s="77"/>
      <c r="E90" s="77"/>
      <c r="F90" s="77"/>
      <c r="G90" s="78"/>
      <c r="H90" s="77"/>
      <c r="I90" s="79"/>
      <c r="J90" s="79"/>
      <c r="K90" s="80"/>
    </row>
    <row r="91" spans="2:12" ht="15" customHeight="1">
      <c r="B91" s="144" t="str">
        <f>TEXT(Hoja2!$C$2,"d") &amp; " a " &amp; TEXT(Hoja2!$D$2,"d") &amp; " de " &amp; TEXT(Hoja2!$D$2,"mmmm")</f>
        <v>9 a 13 de marzo</v>
      </c>
      <c r="C91" s="144"/>
      <c r="D91" s="70" t="s">
        <v>625</v>
      </c>
      <c r="E91" s="70" t="s">
        <v>626</v>
      </c>
      <c r="F91" s="70" t="s">
        <v>627</v>
      </c>
      <c r="G91" s="70" t="s">
        <v>628</v>
      </c>
      <c r="H91" s="70" t="s">
        <v>629</v>
      </c>
      <c r="I91" s="71" t="s">
        <v>630</v>
      </c>
      <c r="J91" s="71" t="s">
        <v>631</v>
      </c>
      <c r="K91" s="72" t="s">
        <v>128</v>
      </c>
      <c r="L91" s="52" t="s">
        <v>632</v>
      </c>
    </row>
    <row r="92" spans="2:12" ht="14.25" customHeight="1">
      <c r="B92" s="54">
        <v>46090</v>
      </c>
      <c r="C92" s="55" t="s">
        <v>633</v>
      </c>
      <c r="D92" s="145" t="s">
        <v>377</v>
      </c>
      <c r="E92" s="143" t="s">
        <v>692</v>
      </c>
      <c r="F92" s="143" t="s">
        <v>693</v>
      </c>
      <c r="G92" s="143" t="s">
        <v>694</v>
      </c>
      <c r="H92" s="143" t="s">
        <v>695</v>
      </c>
      <c r="I92" s="58"/>
      <c r="J92" s="58"/>
      <c r="K92" s="59"/>
      <c r="L92" s="60"/>
    </row>
    <row r="93" spans="2:12" ht="15" customHeight="1">
      <c r="B93" s="54">
        <v>46091</v>
      </c>
      <c r="C93" s="55" t="s">
        <v>640</v>
      </c>
      <c r="D93" s="145"/>
      <c r="E93" s="143"/>
      <c r="F93" s="143"/>
      <c r="G93" s="143"/>
      <c r="H93" s="143"/>
      <c r="I93" s="58"/>
      <c r="J93" s="58"/>
      <c r="K93" s="59"/>
      <c r="L93" s="60"/>
    </row>
    <row r="94" spans="2:12" ht="15" customHeight="1">
      <c r="B94" s="54">
        <v>46092</v>
      </c>
      <c r="C94" s="55" t="s">
        <v>643</v>
      </c>
      <c r="D94" s="145"/>
      <c r="E94" s="143"/>
      <c r="F94" s="143"/>
      <c r="G94" s="143"/>
      <c r="H94" s="143"/>
      <c r="I94" s="58"/>
      <c r="J94" s="58"/>
      <c r="K94" s="63"/>
      <c r="L94" s="60"/>
    </row>
    <row r="95" spans="2:12" ht="15" customHeight="1">
      <c r="B95" s="54">
        <v>46093</v>
      </c>
      <c r="C95" s="55" t="s">
        <v>648</v>
      </c>
      <c r="D95" s="145"/>
      <c r="E95" s="143"/>
      <c r="F95" s="143"/>
      <c r="G95" s="143"/>
      <c r="H95" s="143"/>
      <c r="I95" s="58"/>
      <c r="J95" s="58"/>
      <c r="K95" s="63"/>
      <c r="L95" s="60"/>
    </row>
    <row r="96" spans="2:12" ht="15" customHeight="1">
      <c r="B96" s="54">
        <v>46094</v>
      </c>
      <c r="C96" s="55" t="s">
        <v>651</v>
      </c>
      <c r="D96" s="145"/>
      <c r="E96" s="143"/>
      <c r="F96" s="143"/>
      <c r="G96" s="143"/>
      <c r="H96" s="143"/>
      <c r="I96" s="58"/>
      <c r="J96" s="58"/>
      <c r="K96" s="63"/>
      <c r="L96" s="60"/>
    </row>
    <row r="97" spans="2:12" ht="15" customHeight="1">
      <c r="B97" s="66"/>
      <c r="C97" s="66"/>
      <c r="D97" s="77"/>
      <c r="E97" s="77"/>
      <c r="F97" s="77"/>
      <c r="G97" s="78"/>
      <c r="H97" s="77"/>
      <c r="I97" s="79"/>
      <c r="J97" s="79"/>
      <c r="K97" s="80"/>
    </row>
    <row r="98" spans="2:12" ht="15" customHeight="1">
      <c r="B98" s="66"/>
      <c r="C98" s="66"/>
      <c r="D98" s="67"/>
      <c r="E98" s="67"/>
      <c r="F98" s="67"/>
      <c r="G98" s="67"/>
      <c r="H98" s="67"/>
      <c r="I98" s="68"/>
      <c r="J98" s="68"/>
      <c r="K98" s="69"/>
    </row>
    <row r="99" spans="2:12" ht="15" customHeight="1">
      <c r="B99" s="144" t="str">
        <f>TEXT(Hoja2!$C$2,"d") &amp; " a " &amp; TEXT(Hoja2!$D$2,"d") &amp; " de " &amp; TEXT(Hoja2!$D$2,"mmmm")</f>
        <v>9 a 13 de marzo</v>
      </c>
      <c r="C99" s="144"/>
      <c r="D99" s="70" t="s">
        <v>625</v>
      </c>
      <c r="E99" s="70" t="s">
        <v>626</v>
      </c>
      <c r="F99" s="70" t="s">
        <v>627</v>
      </c>
      <c r="G99" s="70" t="s">
        <v>628</v>
      </c>
      <c r="H99" s="70" t="s">
        <v>629</v>
      </c>
      <c r="I99" s="71" t="s">
        <v>630</v>
      </c>
      <c r="J99" s="71" t="s">
        <v>631</v>
      </c>
      <c r="K99" s="72" t="s">
        <v>128</v>
      </c>
      <c r="L99" s="52" t="s">
        <v>632</v>
      </c>
    </row>
    <row r="100" spans="2:12" ht="14.25" customHeight="1">
      <c r="B100" s="54">
        <v>46090</v>
      </c>
      <c r="C100" s="55" t="s">
        <v>633</v>
      </c>
      <c r="D100" s="145" t="s">
        <v>696</v>
      </c>
      <c r="E100" s="145" t="s">
        <v>697</v>
      </c>
      <c r="F100" s="143" t="s">
        <v>693</v>
      </c>
      <c r="G100" s="143" t="s">
        <v>694</v>
      </c>
      <c r="H100" s="146" t="s">
        <v>698</v>
      </c>
      <c r="I100" s="58"/>
      <c r="J100" s="58"/>
      <c r="K100" s="59"/>
      <c r="L100" s="60"/>
    </row>
    <row r="101" spans="2:12" ht="15" customHeight="1">
      <c r="B101" s="54">
        <v>46091</v>
      </c>
      <c r="C101" s="55" t="s">
        <v>640</v>
      </c>
      <c r="D101" s="145"/>
      <c r="E101" s="145"/>
      <c r="F101" s="143"/>
      <c r="G101" s="143"/>
      <c r="H101" s="146"/>
      <c r="I101" s="58"/>
      <c r="J101" s="58"/>
      <c r="K101" s="59"/>
      <c r="L101" s="60"/>
    </row>
    <row r="102" spans="2:12" ht="15" customHeight="1">
      <c r="B102" s="54">
        <v>46092</v>
      </c>
      <c r="C102" s="55" t="s">
        <v>643</v>
      </c>
      <c r="D102" s="145"/>
      <c r="E102" s="145"/>
      <c r="F102" s="143"/>
      <c r="G102" s="143"/>
      <c r="H102" s="146"/>
      <c r="I102" s="58"/>
      <c r="J102" s="58"/>
      <c r="K102" s="63"/>
      <c r="L102" s="60"/>
    </row>
    <row r="103" spans="2:12" ht="15" customHeight="1">
      <c r="B103" s="54">
        <v>46093</v>
      </c>
      <c r="C103" s="55" t="s">
        <v>648</v>
      </c>
      <c r="D103" s="145"/>
      <c r="E103" s="145"/>
      <c r="F103" s="143"/>
      <c r="G103" s="143"/>
      <c r="H103" s="146"/>
      <c r="I103" s="58"/>
      <c r="J103" s="58"/>
      <c r="K103" s="63"/>
      <c r="L103" s="60"/>
    </row>
    <row r="104" spans="2:12" ht="15" customHeight="1">
      <c r="B104" s="54">
        <v>46094</v>
      </c>
      <c r="C104" s="55" t="s">
        <v>651</v>
      </c>
      <c r="D104" s="145"/>
      <c r="E104" s="145"/>
      <c r="F104" s="143"/>
      <c r="G104" s="143"/>
      <c r="H104" s="146"/>
      <c r="I104" s="58"/>
      <c r="J104" s="58"/>
      <c r="K104" s="63"/>
      <c r="L104" s="60"/>
    </row>
  </sheetData>
  <mergeCells count="87">
    <mergeCell ref="B1:L1"/>
    <mergeCell ref="B3:C3"/>
    <mergeCell ref="D4:D8"/>
    <mergeCell ref="E4:E8"/>
    <mergeCell ref="G4:G8"/>
    <mergeCell ref="F6:F8"/>
    <mergeCell ref="B11:C11"/>
    <mergeCell ref="D12:D16"/>
    <mergeCell ref="E12:E16"/>
    <mergeCell ref="F12:F16"/>
    <mergeCell ref="G12:G16"/>
    <mergeCell ref="I12:I16"/>
    <mergeCell ref="J12:J16"/>
    <mergeCell ref="B19:C19"/>
    <mergeCell ref="D20:D24"/>
    <mergeCell ref="E20:E24"/>
    <mergeCell ref="F20:F24"/>
    <mergeCell ref="G20:G24"/>
    <mergeCell ref="H20:H21"/>
    <mergeCell ref="I20:I21"/>
    <mergeCell ref="J20:J21"/>
    <mergeCell ref="K20:K21"/>
    <mergeCell ref="L20:L21"/>
    <mergeCell ref="H22:H24"/>
    <mergeCell ref="I22:I24"/>
    <mergeCell ref="J22:J24"/>
    <mergeCell ref="B27:C27"/>
    <mergeCell ref="D28:D32"/>
    <mergeCell ref="E28:E32"/>
    <mergeCell ref="F28:F32"/>
    <mergeCell ref="G28:G32"/>
    <mergeCell ref="B35:C35"/>
    <mergeCell ref="D36:D40"/>
    <mergeCell ref="E36:E40"/>
    <mergeCell ref="F36:F40"/>
    <mergeCell ref="G36:G40"/>
    <mergeCell ref="B43:C43"/>
    <mergeCell ref="D44:D48"/>
    <mergeCell ref="E44:E48"/>
    <mergeCell ref="F44:F48"/>
    <mergeCell ref="G44:G48"/>
    <mergeCell ref="B51:C51"/>
    <mergeCell ref="D52:D56"/>
    <mergeCell ref="E52:E56"/>
    <mergeCell ref="F52:F56"/>
    <mergeCell ref="G52:G56"/>
    <mergeCell ref="B59:C59"/>
    <mergeCell ref="D60:D64"/>
    <mergeCell ref="E60:E64"/>
    <mergeCell ref="F60:F64"/>
    <mergeCell ref="G60:G64"/>
    <mergeCell ref="B67:C67"/>
    <mergeCell ref="D68:D72"/>
    <mergeCell ref="E68:E72"/>
    <mergeCell ref="F68:F72"/>
    <mergeCell ref="G68:G72"/>
    <mergeCell ref="H68:H69"/>
    <mergeCell ref="I68:I69"/>
    <mergeCell ref="J68:J69"/>
    <mergeCell ref="H70:H72"/>
    <mergeCell ref="I70:I72"/>
    <mergeCell ref="J70:J72"/>
    <mergeCell ref="B75:C75"/>
    <mergeCell ref="D76:D80"/>
    <mergeCell ref="E76:E80"/>
    <mergeCell ref="F76:F80"/>
    <mergeCell ref="G76:G80"/>
    <mergeCell ref="H79:H80"/>
    <mergeCell ref="I79:I80"/>
    <mergeCell ref="J79:J80"/>
    <mergeCell ref="B83:C83"/>
    <mergeCell ref="D84:D88"/>
    <mergeCell ref="E84:E88"/>
    <mergeCell ref="F84:F88"/>
    <mergeCell ref="G84:G88"/>
    <mergeCell ref="B91:C91"/>
    <mergeCell ref="D92:D96"/>
    <mergeCell ref="E92:E96"/>
    <mergeCell ref="F92:F96"/>
    <mergeCell ref="G92:G96"/>
    <mergeCell ref="H92:H96"/>
    <mergeCell ref="B99:C99"/>
    <mergeCell ref="D100:D104"/>
    <mergeCell ref="E100:E104"/>
    <mergeCell ref="F100:F104"/>
    <mergeCell ref="G100:G104"/>
    <mergeCell ref="H100:H104"/>
  </mergeCells>
  <dataValidations count="4">
    <dataValidation type="list" allowBlank="1" showErrorMessage="1" errorTitle="Dato fuera de lista" error="Valor no válido. Escoge una opción de la lista." sqref="D4:D700" xr:uid="{00000000-0002-0000-0400-000000000000}">
      <formula1>Lista_Colaboradores</formula1>
      <formula2>0</formula2>
    </dataValidation>
    <dataValidation type="list" allowBlank="1" showErrorMessage="1" errorTitle="Dato fuera de lista" error="Valor no válido. Escoge una opción de la lista." sqref="F4:F700" xr:uid="{00000000-0002-0000-0400-000001000000}">
      <formula1>Lista_Proyectos</formula1>
      <formula2>0</formula2>
    </dataValidation>
    <dataValidation type="list" allowBlank="1" showErrorMessage="1" errorTitle="Dato fuera de lista" error="Valor no válido. Escoge una opción de la lista." sqref="G4:G700" xr:uid="{00000000-0002-0000-0400-000002000000}">
      <formula1>"Naturgy,AFINIA,ETESA,Otro"</formula1>
      <formula2>0</formula2>
    </dataValidation>
    <dataValidation type="list" allowBlank="1" showErrorMessage="1" errorTitle="Dato fuera de lista" error="Valor no válido. Escoge una opción de la lista." sqref="K4:K700" xr:uid="{00000000-0002-0000-0400-000003000000}">
      <formula1>"Finalizada,En proceso,Pausada,No iniciada"</formula1>
      <formula2>0</formula2>
    </dataValidation>
  </dataValidations>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4472C4"/>
  </sheetPr>
  <dimension ref="B1:L104"/>
  <sheetViews>
    <sheetView zoomScale="70" zoomScaleNormal="70" workbookViewId="0">
      <selection activeCell="D52" sqref="D52"/>
    </sheetView>
  </sheetViews>
  <sheetFormatPr defaultColWidth="11.42578125" defaultRowHeight="15"/>
  <cols>
    <col min="2" max="3" width="11.5703125" style="49" customWidth="1"/>
    <col min="4" max="4" width="25.140625" customWidth="1"/>
    <col min="5" max="5" width="20.28515625" customWidth="1"/>
    <col min="6" max="6" width="34.7109375" style="49" customWidth="1"/>
    <col min="7" max="7" width="16.28515625" customWidth="1"/>
    <col min="8" max="8" width="59.28515625" customWidth="1"/>
    <col min="9" max="9" width="14.5703125" style="51" customWidth="1"/>
    <col min="10" max="10" width="12.28515625" style="51" customWidth="1"/>
    <col min="11" max="11" width="10.7109375" customWidth="1"/>
    <col min="12" max="12" width="64" customWidth="1"/>
  </cols>
  <sheetData>
    <row r="1" spans="2:12" ht="21.75" customHeight="1">
      <c r="B1" s="153" t="s">
        <v>699</v>
      </c>
      <c r="C1" s="153"/>
      <c r="D1" s="153"/>
      <c r="E1" s="153"/>
      <c r="F1" s="153"/>
      <c r="G1" s="153"/>
      <c r="H1" s="153"/>
      <c r="I1" s="153"/>
      <c r="J1" s="153"/>
      <c r="K1" s="153"/>
      <c r="L1" s="153"/>
    </row>
    <row r="3" spans="2:12" ht="15" customHeight="1">
      <c r="B3" s="154" t="str">
        <f>TEXT(Hoja2!$C$3,"d") &amp; " a " &amp; TEXT(Hoja2!$D$3,"d") &amp; " de " &amp; TEXT(Hoja2!$D$3,"mmmm")</f>
        <v>16 a 20 de marzo</v>
      </c>
      <c r="C3" s="154"/>
      <c r="D3" s="52" t="s">
        <v>625</v>
      </c>
      <c r="E3" s="52" t="s">
        <v>626</v>
      </c>
      <c r="F3" s="52" t="s">
        <v>627</v>
      </c>
      <c r="G3" s="52" t="s">
        <v>628</v>
      </c>
      <c r="H3" s="52" t="s">
        <v>629</v>
      </c>
      <c r="I3" s="53" t="s">
        <v>630</v>
      </c>
      <c r="J3" s="53" t="s">
        <v>631</v>
      </c>
      <c r="K3" s="52" t="s">
        <v>128</v>
      </c>
      <c r="L3" s="52" t="s">
        <v>632</v>
      </c>
    </row>
    <row r="4" spans="2:12" ht="15" customHeight="1">
      <c r="B4" s="54">
        <v>46097</v>
      </c>
      <c r="C4" s="55" t="s">
        <v>633</v>
      </c>
      <c r="D4" s="145" t="s">
        <v>634</v>
      </c>
      <c r="E4" s="145" t="s">
        <v>635</v>
      </c>
      <c r="F4" s="56" t="s">
        <v>636</v>
      </c>
      <c r="G4" s="145" t="s">
        <v>637</v>
      </c>
      <c r="H4" s="57"/>
      <c r="I4" s="58"/>
      <c r="J4" s="58"/>
      <c r="K4" s="59"/>
      <c r="L4" s="60"/>
    </row>
    <row r="5" spans="2:12" ht="15" customHeight="1">
      <c r="B5" s="54">
        <v>46098</v>
      </c>
      <c r="C5" s="55" t="s">
        <v>640</v>
      </c>
      <c r="D5" s="145"/>
      <c r="E5" s="145"/>
      <c r="F5" s="61" t="s">
        <v>641</v>
      </c>
      <c r="G5" s="145"/>
      <c r="H5" s="57"/>
      <c r="I5" s="58"/>
      <c r="J5" s="58"/>
      <c r="K5" s="59"/>
      <c r="L5" s="60"/>
    </row>
    <row r="6" spans="2:12" ht="15" customHeight="1">
      <c r="B6" s="54">
        <v>46099</v>
      </c>
      <c r="C6" s="55" t="s">
        <v>643</v>
      </c>
      <c r="D6" s="145"/>
      <c r="E6" s="145"/>
      <c r="F6" s="145" t="s">
        <v>644</v>
      </c>
      <c r="G6" s="145"/>
      <c r="H6" s="62"/>
      <c r="I6" s="58"/>
      <c r="J6" s="58"/>
      <c r="K6" s="63"/>
      <c r="L6" s="60"/>
    </row>
    <row r="7" spans="2:12" ht="15" customHeight="1">
      <c r="B7" s="54">
        <v>46100</v>
      </c>
      <c r="C7" s="55" t="s">
        <v>648</v>
      </c>
      <c r="D7" s="145"/>
      <c r="E7" s="145"/>
      <c r="F7" s="145"/>
      <c r="G7" s="145"/>
      <c r="H7" s="64"/>
      <c r="I7" s="58"/>
      <c r="J7" s="58"/>
      <c r="K7" s="63"/>
      <c r="L7" s="60"/>
    </row>
    <row r="8" spans="2:12" ht="15" customHeight="1">
      <c r="B8" s="54">
        <v>46101</v>
      </c>
      <c r="C8" s="55" t="s">
        <v>651</v>
      </c>
      <c r="D8" s="145"/>
      <c r="E8" s="145"/>
      <c r="F8" s="145"/>
      <c r="G8" s="145"/>
      <c r="H8" s="65"/>
      <c r="I8" s="58"/>
      <c r="J8" s="58"/>
      <c r="K8" s="63"/>
      <c r="L8" s="60"/>
    </row>
    <row r="9" spans="2:12" ht="15" customHeight="1">
      <c r="B9" s="66"/>
      <c r="C9" s="66"/>
      <c r="D9" s="67"/>
      <c r="E9" s="67"/>
      <c r="F9" s="67"/>
      <c r="G9" s="67"/>
      <c r="H9" s="67"/>
      <c r="I9" s="68"/>
      <c r="J9" s="68"/>
      <c r="K9" s="69"/>
    </row>
    <row r="10" spans="2:12" ht="15" customHeight="1">
      <c r="B10" s="66"/>
      <c r="C10" s="66"/>
      <c r="D10" s="67"/>
      <c r="E10" s="67"/>
      <c r="F10" s="67"/>
      <c r="G10" s="67"/>
      <c r="H10" s="67"/>
      <c r="I10" s="68"/>
      <c r="J10" s="68"/>
      <c r="K10" s="69"/>
    </row>
    <row r="11" spans="2:12" ht="15" customHeight="1">
      <c r="B11" s="144" t="str">
        <f>TEXT(Hoja2!$C$3,"d") &amp; " a " &amp; TEXT(Hoja2!$D$3,"d") &amp; " de " &amp; TEXT(Hoja2!$D$3,"mmmm")</f>
        <v>16 a 20 de marzo</v>
      </c>
      <c r="C11" s="144"/>
      <c r="D11" s="70" t="s">
        <v>625</v>
      </c>
      <c r="E11" s="70" t="s">
        <v>626</v>
      </c>
      <c r="F11" s="70" t="s">
        <v>627</v>
      </c>
      <c r="G11" s="70" t="s">
        <v>628</v>
      </c>
      <c r="H11" s="70" t="s">
        <v>629</v>
      </c>
      <c r="I11" s="71" t="s">
        <v>630</v>
      </c>
      <c r="J11" s="71" t="s">
        <v>631</v>
      </c>
      <c r="K11" s="72" t="s">
        <v>128</v>
      </c>
      <c r="L11" s="52" t="s">
        <v>632</v>
      </c>
    </row>
    <row r="12" spans="2:12" ht="15" customHeight="1">
      <c r="B12" s="54">
        <v>46097</v>
      </c>
      <c r="C12" s="55" t="s">
        <v>633</v>
      </c>
      <c r="D12" s="145" t="s">
        <v>653</v>
      </c>
      <c r="E12" s="145" t="s">
        <v>635</v>
      </c>
      <c r="F12" s="145" t="s">
        <v>654</v>
      </c>
      <c r="G12" s="145" t="s">
        <v>637</v>
      </c>
      <c r="H12" s="57"/>
      <c r="I12" s="83"/>
      <c r="J12" s="83"/>
      <c r="K12" s="59"/>
      <c r="L12" s="60"/>
    </row>
    <row r="13" spans="2:12" ht="15" customHeight="1">
      <c r="B13" s="54">
        <v>46098</v>
      </c>
      <c r="C13" s="55" t="s">
        <v>640</v>
      </c>
      <c r="D13" s="145"/>
      <c r="E13" s="145"/>
      <c r="F13" s="145"/>
      <c r="G13" s="145"/>
      <c r="H13" s="57"/>
      <c r="I13" s="83"/>
      <c r="J13" s="83"/>
      <c r="K13" s="59"/>
      <c r="L13" s="60"/>
    </row>
    <row r="14" spans="2:12" ht="15" customHeight="1">
      <c r="B14" s="54">
        <v>46099</v>
      </c>
      <c r="C14" s="55" t="s">
        <v>643</v>
      </c>
      <c r="D14" s="145"/>
      <c r="E14" s="145"/>
      <c r="F14" s="145"/>
      <c r="G14" s="145"/>
      <c r="H14" s="57"/>
      <c r="I14" s="83"/>
      <c r="J14" s="83"/>
      <c r="K14" s="63"/>
      <c r="L14" s="60"/>
    </row>
    <row r="15" spans="2:12" ht="15" customHeight="1">
      <c r="B15" s="54">
        <v>46100</v>
      </c>
      <c r="C15" s="55" t="s">
        <v>648</v>
      </c>
      <c r="D15" s="145"/>
      <c r="E15" s="145"/>
      <c r="F15" s="145"/>
      <c r="G15" s="145"/>
      <c r="H15" s="57"/>
      <c r="I15" s="83"/>
      <c r="J15" s="83"/>
      <c r="K15" s="63"/>
      <c r="L15" s="60"/>
    </row>
    <row r="16" spans="2:12" ht="15" customHeight="1">
      <c r="B16" s="54">
        <v>46101</v>
      </c>
      <c r="C16" s="55" t="s">
        <v>651</v>
      </c>
      <c r="D16" s="145"/>
      <c r="E16" s="145"/>
      <c r="F16" s="145"/>
      <c r="G16" s="145"/>
      <c r="H16" s="57"/>
      <c r="I16" s="83"/>
      <c r="J16" s="83"/>
      <c r="K16" s="63"/>
      <c r="L16" s="60"/>
    </row>
    <row r="17" spans="2:12" ht="15" customHeight="1">
      <c r="B17" s="66"/>
      <c r="C17" s="66"/>
      <c r="D17" s="67"/>
      <c r="E17" s="67"/>
      <c r="F17" s="67"/>
      <c r="G17" s="67"/>
      <c r="H17" s="67"/>
      <c r="I17" s="68"/>
      <c r="J17" s="68"/>
      <c r="K17" s="69"/>
    </row>
    <row r="18" spans="2:12" ht="15" customHeight="1">
      <c r="B18" s="66"/>
      <c r="C18" s="66"/>
      <c r="D18" s="67"/>
      <c r="E18" s="67"/>
      <c r="F18" s="67"/>
      <c r="G18" s="67"/>
      <c r="H18" s="67"/>
      <c r="I18" s="68"/>
      <c r="J18" s="68"/>
      <c r="K18" s="69"/>
    </row>
    <row r="19" spans="2:12" ht="15" customHeight="1">
      <c r="B19" s="144" t="str">
        <f>TEXT(Hoja2!$C$3,"d") &amp; " a " &amp; TEXT(Hoja2!$D$3,"d") &amp; " de " &amp; TEXT(Hoja2!$D$3,"mmmm")</f>
        <v>16 a 20 de marzo</v>
      </c>
      <c r="C19" s="144"/>
      <c r="D19" s="70" t="s">
        <v>625</v>
      </c>
      <c r="E19" s="70" t="s">
        <v>626</v>
      </c>
      <c r="F19" s="70" t="s">
        <v>627</v>
      </c>
      <c r="G19" s="70" t="s">
        <v>628</v>
      </c>
      <c r="H19" s="70" t="s">
        <v>629</v>
      </c>
      <c r="I19" s="71" t="s">
        <v>630</v>
      </c>
      <c r="J19" s="71" t="s">
        <v>631</v>
      </c>
      <c r="K19" s="72" t="s">
        <v>128</v>
      </c>
      <c r="L19" s="52" t="s">
        <v>632</v>
      </c>
    </row>
    <row r="20" spans="2:12" ht="15" customHeight="1">
      <c r="B20" s="54">
        <v>46097</v>
      </c>
      <c r="C20" s="55" t="s">
        <v>633</v>
      </c>
      <c r="D20" s="145" t="s">
        <v>660</v>
      </c>
      <c r="E20" s="145" t="s">
        <v>661</v>
      </c>
      <c r="F20" s="56" t="s">
        <v>700</v>
      </c>
      <c r="G20" s="56" t="s">
        <v>669</v>
      </c>
      <c r="H20" s="56" t="s">
        <v>701</v>
      </c>
      <c r="I20" s="58">
        <v>46097</v>
      </c>
      <c r="J20" s="58">
        <v>46097</v>
      </c>
      <c r="K20" s="84"/>
      <c r="L20" s="85"/>
    </row>
    <row r="21" spans="2:12" ht="15" customHeight="1">
      <c r="B21" s="54">
        <v>46098</v>
      </c>
      <c r="C21" s="55" t="s">
        <v>640</v>
      </c>
      <c r="D21" s="145"/>
      <c r="E21" s="145"/>
      <c r="F21" s="145" t="s">
        <v>644</v>
      </c>
      <c r="G21" s="145" t="s">
        <v>637</v>
      </c>
      <c r="H21" s="155" t="s">
        <v>702</v>
      </c>
      <c r="I21" s="148">
        <v>46098</v>
      </c>
      <c r="J21" s="148">
        <v>46099</v>
      </c>
      <c r="K21" s="84"/>
      <c r="L21" s="85"/>
    </row>
    <row r="22" spans="2:12" ht="14.25" customHeight="1">
      <c r="B22" s="54">
        <v>46099</v>
      </c>
      <c r="C22" s="55" t="s">
        <v>643</v>
      </c>
      <c r="D22" s="145"/>
      <c r="E22" s="145"/>
      <c r="F22" s="145"/>
      <c r="G22" s="145"/>
      <c r="H22" s="155"/>
      <c r="I22" s="155"/>
      <c r="J22" s="155"/>
      <c r="K22" s="63"/>
      <c r="L22" s="60"/>
    </row>
    <row r="23" spans="2:12" ht="15" customHeight="1">
      <c r="B23" s="54">
        <v>46100</v>
      </c>
      <c r="C23" s="55" t="s">
        <v>648</v>
      </c>
      <c r="D23" s="145"/>
      <c r="E23" s="145"/>
      <c r="F23" s="145"/>
      <c r="G23" s="145"/>
      <c r="H23" s="155" t="s">
        <v>703</v>
      </c>
      <c r="I23" s="148">
        <v>46100</v>
      </c>
      <c r="J23" s="148">
        <v>46101</v>
      </c>
      <c r="K23" s="63"/>
      <c r="L23" s="60"/>
    </row>
    <row r="24" spans="2:12" ht="14.25" customHeight="1">
      <c r="B24" s="54">
        <v>46101</v>
      </c>
      <c r="C24" s="55" t="s">
        <v>651</v>
      </c>
      <c r="D24" s="145"/>
      <c r="E24" s="145"/>
      <c r="F24" s="145"/>
      <c r="G24" s="145"/>
      <c r="H24" s="155"/>
      <c r="I24" s="155"/>
      <c r="J24" s="155"/>
      <c r="K24" s="63"/>
      <c r="L24" s="60"/>
    </row>
    <row r="25" spans="2:12" ht="15" customHeight="1">
      <c r="B25" s="66"/>
      <c r="C25" s="66"/>
      <c r="D25" s="67"/>
      <c r="E25" s="67"/>
      <c r="F25" s="67"/>
      <c r="G25" s="67"/>
      <c r="H25" s="67"/>
      <c r="I25" s="68"/>
      <c r="J25" s="68"/>
      <c r="K25" s="69"/>
    </row>
    <row r="26" spans="2:12" ht="15" customHeight="1">
      <c r="B26" s="66"/>
      <c r="C26" s="66"/>
      <c r="D26" s="67"/>
      <c r="E26" s="67"/>
      <c r="F26" s="67"/>
      <c r="G26" s="67"/>
      <c r="H26" s="67"/>
      <c r="I26" s="68"/>
      <c r="J26" s="68"/>
      <c r="K26" s="69"/>
    </row>
    <row r="27" spans="2:12" ht="15" customHeight="1">
      <c r="B27" s="144" t="str">
        <f>TEXT(Hoja2!$C$3,"d") &amp; " a " &amp; TEXT(Hoja2!$D$3,"d") &amp; " de " &amp; TEXT(Hoja2!$D$3,"mmmm")</f>
        <v>16 a 20 de marzo</v>
      </c>
      <c r="C27" s="144"/>
      <c r="D27" s="70" t="s">
        <v>625</v>
      </c>
      <c r="E27" s="70" t="s">
        <v>626</v>
      </c>
      <c r="F27" s="70" t="s">
        <v>627</v>
      </c>
      <c r="G27" s="70" t="s">
        <v>628</v>
      </c>
      <c r="H27" s="70" t="s">
        <v>629</v>
      </c>
      <c r="I27" s="71" t="s">
        <v>630</v>
      </c>
      <c r="J27" s="71" t="s">
        <v>631</v>
      </c>
      <c r="K27" s="72" t="s">
        <v>128</v>
      </c>
      <c r="L27" s="52" t="s">
        <v>632</v>
      </c>
    </row>
    <row r="28" spans="2:12" ht="14.25" customHeight="1">
      <c r="B28" s="54">
        <v>46097</v>
      </c>
      <c r="C28" s="55" t="s">
        <v>633</v>
      </c>
      <c r="D28" s="145" t="s">
        <v>664</v>
      </c>
      <c r="E28" s="145" t="s">
        <v>661</v>
      </c>
      <c r="F28" s="145" t="s">
        <v>704</v>
      </c>
      <c r="G28" s="145" t="s">
        <v>705</v>
      </c>
      <c r="H28" s="56" t="s">
        <v>706</v>
      </c>
      <c r="I28" s="148">
        <v>46097</v>
      </c>
      <c r="J28" s="148">
        <v>46101</v>
      </c>
      <c r="K28" s="59"/>
      <c r="L28" s="60"/>
    </row>
    <row r="29" spans="2:12" ht="14.25" customHeight="1">
      <c r="B29" s="54">
        <v>46098</v>
      </c>
      <c r="C29" s="55" t="s">
        <v>640</v>
      </c>
      <c r="D29" s="145"/>
      <c r="E29" s="145"/>
      <c r="F29" s="145"/>
      <c r="G29" s="145"/>
      <c r="H29" s="56" t="s">
        <v>706</v>
      </c>
      <c r="I29" s="148"/>
      <c r="J29" s="148"/>
      <c r="K29" s="59"/>
      <c r="L29" s="60"/>
    </row>
    <row r="30" spans="2:12" ht="14.25" customHeight="1">
      <c r="B30" s="54">
        <v>46099</v>
      </c>
      <c r="C30" s="55" t="s">
        <v>643</v>
      </c>
      <c r="D30" s="145"/>
      <c r="E30" s="145"/>
      <c r="F30" s="145"/>
      <c r="G30" s="145"/>
      <c r="H30" s="56" t="s">
        <v>706</v>
      </c>
      <c r="I30" s="148"/>
      <c r="J30" s="148"/>
      <c r="K30" s="63"/>
      <c r="L30" s="60"/>
    </row>
    <row r="31" spans="2:12" ht="14.25" customHeight="1">
      <c r="B31" s="54">
        <v>46100</v>
      </c>
      <c r="C31" s="55" t="s">
        <v>648</v>
      </c>
      <c r="D31" s="145"/>
      <c r="E31" s="145"/>
      <c r="F31" s="145"/>
      <c r="G31" s="145"/>
      <c r="H31" s="56" t="s">
        <v>706</v>
      </c>
      <c r="I31" s="148"/>
      <c r="J31" s="148"/>
      <c r="K31" s="63"/>
      <c r="L31" s="60"/>
    </row>
    <row r="32" spans="2:12" ht="14.25" customHeight="1">
      <c r="B32" s="54">
        <v>46101</v>
      </c>
      <c r="C32" s="55" t="s">
        <v>651</v>
      </c>
      <c r="D32" s="145"/>
      <c r="E32" s="145"/>
      <c r="F32" s="145"/>
      <c r="G32" s="145"/>
      <c r="H32" s="56" t="s">
        <v>706</v>
      </c>
      <c r="I32" s="148"/>
      <c r="J32" s="148"/>
      <c r="K32" s="63"/>
      <c r="L32" s="60"/>
    </row>
    <row r="33" spans="2:12" ht="15" customHeight="1">
      <c r="B33" s="66"/>
      <c r="C33" s="66"/>
      <c r="D33" s="67"/>
      <c r="E33" s="67"/>
      <c r="F33" s="67"/>
      <c r="G33" s="67"/>
      <c r="H33" s="67"/>
      <c r="I33" s="68"/>
      <c r="J33" s="68"/>
      <c r="K33" s="69"/>
    </row>
    <row r="34" spans="2:12" ht="15" customHeight="1">
      <c r="B34" s="66"/>
      <c r="C34" s="66"/>
      <c r="D34" s="67"/>
      <c r="E34" s="67"/>
      <c r="F34" s="67"/>
      <c r="G34" s="67"/>
      <c r="H34" s="67"/>
      <c r="I34" s="68"/>
      <c r="J34" s="68"/>
      <c r="K34" s="69"/>
    </row>
    <row r="35" spans="2:12" ht="15" customHeight="1">
      <c r="B35" s="144" t="str">
        <f>TEXT(Hoja2!$C$3,"d") &amp; " a " &amp; TEXT(Hoja2!$D$3,"d") &amp; " de " &amp; TEXT(Hoja2!$D$3,"mmmm")</f>
        <v>16 a 20 de marzo</v>
      </c>
      <c r="C35" s="144"/>
      <c r="D35" s="70" t="s">
        <v>625</v>
      </c>
      <c r="E35" s="70" t="s">
        <v>626</v>
      </c>
      <c r="F35" s="70" t="s">
        <v>627</v>
      </c>
      <c r="G35" s="70" t="s">
        <v>628</v>
      </c>
      <c r="H35" s="70" t="s">
        <v>629</v>
      </c>
      <c r="I35" s="71" t="s">
        <v>630</v>
      </c>
      <c r="J35" s="71" t="s">
        <v>631</v>
      </c>
      <c r="K35" s="72" t="s">
        <v>128</v>
      </c>
      <c r="L35" s="52" t="s">
        <v>632</v>
      </c>
    </row>
    <row r="36" spans="2:12" ht="14.25" customHeight="1">
      <c r="B36" s="54">
        <v>46097</v>
      </c>
      <c r="C36" s="55" t="s">
        <v>633</v>
      </c>
      <c r="D36" s="145" t="s">
        <v>667</v>
      </c>
      <c r="E36" s="145" t="s">
        <v>661</v>
      </c>
      <c r="F36" s="143" t="s">
        <v>668</v>
      </c>
      <c r="G36" s="145" t="s">
        <v>669</v>
      </c>
      <c r="H36" s="62"/>
      <c r="I36" s="58"/>
      <c r="J36" s="58"/>
      <c r="K36" s="59"/>
      <c r="L36" s="60"/>
    </row>
    <row r="37" spans="2:12" ht="15" customHeight="1">
      <c r="B37" s="54">
        <v>46098</v>
      </c>
      <c r="C37" s="55" t="s">
        <v>640</v>
      </c>
      <c r="D37" s="145"/>
      <c r="E37" s="145"/>
      <c r="F37" s="143"/>
      <c r="G37" s="145"/>
      <c r="H37" s="62"/>
      <c r="I37" s="58"/>
      <c r="J37" s="58"/>
      <c r="K37" s="59"/>
      <c r="L37" s="60"/>
    </row>
    <row r="38" spans="2:12" ht="15" customHeight="1">
      <c r="B38" s="54">
        <v>46099</v>
      </c>
      <c r="C38" s="55" t="s">
        <v>643</v>
      </c>
      <c r="D38" s="145"/>
      <c r="E38" s="145"/>
      <c r="F38" s="143"/>
      <c r="G38" s="145"/>
      <c r="H38" s="57"/>
      <c r="I38" s="58"/>
      <c r="J38" s="58"/>
      <c r="K38" s="63"/>
      <c r="L38" s="60"/>
    </row>
    <row r="39" spans="2:12" ht="15" customHeight="1">
      <c r="B39" s="54">
        <v>46100</v>
      </c>
      <c r="C39" s="55" t="s">
        <v>648</v>
      </c>
      <c r="D39" s="145"/>
      <c r="E39" s="145"/>
      <c r="F39" s="143"/>
      <c r="G39" s="145"/>
      <c r="H39" s="57"/>
      <c r="I39" s="58"/>
      <c r="J39" s="58"/>
      <c r="K39" s="63"/>
      <c r="L39" s="60"/>
    </row>
    <row r="40" spans="2:12" ht="15" customHeight="1">
      <c r="B40" s="54">
        <v>46101</v>
      </c>
      <c r="C40" s="55" t="s">
        <v>651</v>
      </c>
      <c r="D40" s="145"/>
      <c r="E40" s="145"/>
      <c r="F40" s="143"/>
      <c r="G40" s="145"/>
      <c r="H40" s="57"/>
      <c r="I40" s="58"/>
      <c r="J40" s="58"/>
      <c r="K40" s="63"/>
      <c r="L40" s="60"/>
    </row>
    <row r="41" spans="2:12" ht="15" customHeight="1">
      <c r="B41" s="66"/>
      <c r="C41" s="66"/>
      <c r="D41" s="67"/>
      <c r="E41" s="67"/>
      <c r="F41" s="67"/>
      <c r="G41" s="67"/>
      <c r="H41" s="67"/>
      <c r="I41" s="68"/>
      <c r="J41" s="68"/>
      <c r="K41" s="69"/>
    </row>
    <row r="42" spans="2:12" ht="15" customHeight="1">
      <c r="B42" s="66"/>
      <c r="C42" s="66"/>
      <c r="D42" s="67"/>
      <c r="E42" s="67"/>
      <c r="F42" s="67"/>
      <c r="G42" s="67"/>
      <c r="H42" s="67"/>
      <c r="I42" s="68"/>
      <c r="J42" s="68"/>
      <c r="K42" s="69"/>
    </row>
    <row r="43" spans="2:12" ht="15" customHeight="1">
      <c r="B43" s="144" t="str">
        <f>TEXT(Hoja2!$C$3,"d") &amp; " a " &amp; TEXT(Hoja2!$D$3,"d") &amp; " de " &amp; TEXT(Hoja2!$D$3,"mmmm")</f>
        <v>16 a 20 de marzo</v>
      </c>
      <c r="C43" s="144"/>
      <c r="D43" s="70" t="s">
        <v>625</v>
      </c>
      <c r="E43" s="70" t="s">
        <v>626</v>
      </c>
      <c r="F43" s="70" t="s">
        <v>627</v>
      </c>
      <c r="G43" s="70" t="s">
        <v>628</v>
      </c>
      <c r="H43" s="70" t="s">
        <v>629</v>
      </c>
      <c r="I43" s="71" t="s">
        <v>630</v>
      </c>
      <c r="J43" s="71" t="s">
        <v>631</v>
      </c>
      <c r="K43" s="72" t="s">
        <v>128</v>
      </c>
      <c r="L43" s="52" t="s">
        <v>632</v>
      </c>
    </row>
    <row r="44" spans="2:12" ht="14.25" customHeight="1">
      <c r="B44" s="54">
        <v>46097</v>
      </c>
      <c r="C44" s="55" t="s">
        <v>633</v>
      </c>
      <c r="D44" s="145" t="s">
        <v>375</v>
      </c>
      <c r="E44" s="145" t="s">
        <v>673</v>
      </c>
      <c r="F44" s="145" t="s">
        <v>674</v>
      </c>
      <c r="G44" s="143" t="s">
        <v>637</v>
      </c>
      <c r="H44" s="62"/>
      <c r="I44" s="58"/>
      <c r="J44" s="58"/>
      <c r="K44" s="59"/>
      <c r="L44" s="60"/>
    </row>
    <row r="45" spans="2:12" ht="15" customHeight="1">
      <c r="B45" s="54">
        <v>46098</v>
      </c>
      <c r="C45" s="55" t="s">
        <v>640</v>
      </c>
      <c r="D45" s="145"/>
      <c r="E45" s="145"/>
      <c r="F45" s="145"/>
      <c r="G45" s="143"/>
      <c r="H45" s="62"/>
      <c r="I45" s="58"/>
      <c r="J45" s="58"/>
      <c r="K45" s="59"/>
      <c r="L45" s="60"/>
    </row>
    <row r="46" spans="2:12" ht="15" customHeight="1">
      <c r="B46" s="54">
        <v>46099</v>
      </c>
      <c r="C46" s="55" t="s">
        <v>643</v>
      </c>
      <c r="D46" s="145"/>
      <c r="E46" s="145"/>
      <c r="F46" s="145"/>
      <c r="G46" s="143"/>
      <c r="H46" s="62"/>
      <c r="I46" s="58"/>
      <c r="J46" s="58"/>
      <c r="K46" s="63"/>
      <c r="L46" s="60"/>
    </row>
    <row r="47" spans="2:12" ht="15" customHeight="1">
      <c r="B47" s="54">
        <v>46100</v>
      </c>
      <c r="C47" s="55" t="s">
        <v>648</v>
      </c>
      <c r="D47" s="145"/>
      <c r="E47" s="145"/>
      <c r="F47" s="145"/>
      <c r="G47" s="143"/>
      <c r="H47" s="62"/>
      <c r="I47" s="58"/>
      <c r="J47" s="58"/>
      <c r="K47" s="63"/>
      <c r="L47" s="60"/>
    </row>
    <row r="48" spans="2:12" ht="15" customHeight="1">
      <c r="B48" s="54">
        <v>46101</v>
      </c>
      <c r="C48" s="55" t="s">
        <v>651</v>
      </c>
      <c r="D48" s="145"/>
      <c r="E48" s="145"/>
      <c r="F48" s="145"/>
      <c r="G48" s="143"/>
      <c r="H48" s="62"/>
      <c r="I48" s="58"/>
      <c r="J48" s="58"/>
      <c r="K48" s="63"/>
      <c r="L48" s="60"/>
    </row>
    <row r="49" spans="2:12" ht="15" customHeight="1">
      <c r="B49" s="66"/>
      <c r="C49" s="66"/>
      <c r="D49" s="67"/>
      <c r="E49" s="67"/>
      <c r="F49" s="67"/>
      <c r="G49" s="67"/>
      <c r="H49" s="67"/>
      <c r="I49" s="68"/>
      <c r="J49" s="68"/>
      <c r="K49" s="69"/>
    </row>
    <row r="50" spans="2:12" ht="15" customHeight="1">
      <c r="B50" s="66"/>
      <c r="C50" s="66"/>
      <c r="D50" s="67"/>
      <c r="E50" s="67"/>
      <c r="F50" s="67"/>
      <c r="G50" s="67"/>
      <c r="H50" s="67"/>
      <c r="I50" s="68"/>
      <c r="J50" s="68"/>
      <c r="K50" s="69"/>
    </row>
    <row r="51" spans="2:12" ht="15" customHeight="1">
      <c r="B51" s="144" t="str">
        <f>TEXT(Hoja2!$C$3,"d") &amp; " a " &amp; TEXT(Hoja2!$D$3,"d") &amp; " de " &amp; TEXT(Hoja2!$D$3,"mmmm")</f>
        <v>16 a 20 de marzo</v>
      </c>
      <c r="C51" s="144"/>
      <c r="D51" s="70" t="s">
        <v>625</v>
      </c>
      <c r="E51" s="70" t="s">
        <v>626</v>
      </c>
      <c r="F51" s="70" t="s">
        <v>627</v>
      </c>
      <c r="G51" s="70" t="s">
        <v>628</v>
      </c>
      <c r="H51" s="70" t="s">
        <v>629</v>
      </c>
      <c r="I51" s="71" t="s">
        <v>630</v>
      </c>
      <c r="J51" s="71" t="s">
        <v>631</v>
      </c>
      <c r="K51" s="72" t="s">
        <v>128</v>
      </c>
      <c r="L51" s="52" t="s">
        <v>632</v>
      </c>
    </row>
    <row r="52" spans="2:12" ht="14.25" customHeight="1">
      <c r="B52" s="54">
        <v>46097</v>
      </c>
      <c r="C52" s="55" t="s">
        <v>633</v>
      </c>
      <c r="D52" s="145" t="s">
        <v>679</v>
      </c>
      <c r="E52" s="145" t="s">
        <v>673</v>
      </c>
      <c r="F52" s="145" t="s">
        <v>636</v>
      </c>
      <c r="G52" s="143" t="s">
        <v>637</v>
      </c>
      <c r="H52" s="62" t="s">
        <v>680</v>
      </c>
      <c r="I52" s="58">
        <f>B52</f>
        <v>46097</v>
      </c>
      <c r="J52" s="58">
        <f>B53</f>
        <v>46098</v>
      </c>
      <c r="K52" s="59"/>
      <c r="L52" s="60"/>
    </row>
    <row r="53" spans="2:12" ht="15" customHeight="1">
      <c r="B53" s="54">
        <v>46098</v>
      </c>
      <c r="C53" s="55" t="s">
        <v>640</v>
      </c>
      <c r="D53" s="145"/>
      <c r="E53" s="145"/>
      <c r="F53" s="145"/>
      <c r="G53" s="143"/>
      <c r="H53" s="62" t="s">
        <v>680</v>
      </c>
      <c r="I53" s="58">
        <f>B53</f>
        <v>46098</v>
      </c>
      <c r="J53" s="58">
        <f>B54</f>
        <v>46099</v>
      </c>
      <c r="K53" s="59"/>
      <c r="L53" s="60"/>
    </row>
    <row r="54" spans="2:12" ht="15" customHeight="1">
      <c r="B54" s="54">
        <v>46099</v>
      </c>
      <c r="C54" s="55" t="s">
        <v>643</v>
      </c>
      <c r="D54" s="145"/>
      <c r="E54" s="145"/>
      <c r="F54" s="145"/>
      <c r="G54" s="143"/>
      <c r="H54" s="62" t="s">
        <v>680</v>
      </c>
      <c r="I54" s="58">
        <f>B54</f>
        <v>46099</v>
      </c>
      <c r="J54" s="58">
        <f>B55</f>
        <v>46100</v>
      </c>
      <c r="K54" s="63"/>
      <c r="L54" s="60"/>
    </row>
    <row r="55" spans="2:12" ht="15" customHeight="1">
      <c r="B55" s="54">
        <v>46100</v>
      </c>
      <c r="C55" s="55" t="s">
        <v>648</v>
      </c>
      <c r="D55" s="145"/>
      <c r="E55" s="145"/>
      <c r="F55" s="145"/>
      <c r="G55" s="143"/>
      <c r="H55" s="62" t="s">
        <v>680</v>
      </c>
      <c r="I55" s="58">
        <f>B55</f>
        <v>46100</v>
      </c>
      <c r="J55" s="58">
        <f>B56</f>
        <v>46101</v>
      </c>
      <c r="K55" s="63"/>
      <c r="L55" s="60"/>
    </row>
    <row r="56" spans="2:12" ht="15" customHeight="1">
      <c r="B56" s="54">
        <v>46101</v>
      </c>
      <c r="C56" s="55" t="s">
        <v>651</v>
      </c>
      <c r="D56" s="145"/>
      <c r="E56" s="145"/>
      <c r="F56" s="145"/>
      <c r="G56" s="143"/>
      <c r="H56" s="62" t="s">
        <v>680</v>
      </c>
      <c r="I56" s="58">
        <f>B56</f>
        <v>46101</v>
      </c>
      <c r="J56" s="58">
        <f>J55</f>
        <v>46101</v>
      </c>
      <c r="K56" s="63"/>
      <c r="L56" s="60"/>
    </row>
    <row r="57" spans="2:12" ht="15" customHeight="1">
      <c r="B57" s="66"/>
      <c r="C57" s="66"/>
      <c r="D57" s="67"/>
      <c r="E57" s="67"/>
      <c r="F57" s="67"/>
      <c r="G57" s="67"/>
      <c r="H57" s="67"/>
      <c r="I57" s="68"/>
      <c r="J57" s="68"/>
      <c r="K57" s="69"/>
    </row>
    <row r="58" spans="2:12" ht="15" customHeight="1">
      <c r="B58" s="66"/>
      <c r="C58" s="66"/>
      <c r="D58" s="67"/>
      <c r="E58" s="67"/>
      <c r="F58" s="67"/>
      <c r="G58" s="67"/>
      <c r="H58" s="67"/>
      <c r="I58" s="68"/>
      <c r="J58" s="68"/>
      <c r="K58" s="69"/>
    </row>
    <row r="59" spans="2:12" ht="15" customHeight="1">
      <c r="B59" s="144" t="str">
        <f>TEXT(Hoja2!$C$3,"d") &amp; " a " &amp; TEXT(Hoja2!$D$3,"d") &amp; " de " &amp; TEXT(Hoja2!$D$3,"mmmm")</f>
        <v>16 a 20 de marzo</v>
      </c>
      <c r="C59" s="144"/>
      <c r="D59" s="70" t="s">
        <v>625</v>
      </c>
      <c r="E59" s="70" t="s">
        <v>626</v>
      </c>
      <c r="F59" s="70" t="s">
        <v>627</v>
      </c>
      <c r="G59" s="70" t="s">
        <v>628</v>
      </c>
      <c r="H59" s="70" t="s">
        <v>629</v>
      </c>
      <c r="I59" s="71" t="s">
        <v>630</v>
      </c>
      <c r="J59" s="71" t="s">
        <v>631</v>
      </c>
      <c r="K59" s="72" t="s">
        <v>128</v>
      </c>
      <c r="L59" s="52" t="s">
        <v>632</v>
      </c>
    </row>
    <row r="60" spans="2:12" ht="14.25" customHeight="1">
      <c r="B60" s="54">
        <v>46097</v>
      </c>
      <c r="C60" s="55" t="s">
        <v>633</v>
      </c>
      <c r="D60" s="145" t="s">
        <v>681</v>
      </c>
      <c r="E60" s="145" t="s">
        <v>673</v>
      </c>
      <c r="F60" s="145" t="s">
        <v>636</v>
      </c>
      <c r="G60" s="143" t="s">
        <v>637</v>
      </c>
      <c r="H60" s="75"/>
      <c r="I60" s="58"/>
      <c r="J60" s="58"/>
      <c r="K60" s="59"/>
      <c r="L60" s="60"/>
    </row>
    <row r="61" spans="2:12" ht="15" customHeight="1">
      <c r="B61" s="54">
        <v>46098</v>
      </c>
      <c r="C61" s="55" t="s">
        <v>640</v>
      </c>
      <c r="D61" s="145"/>
      <c r="E61" s="145"/>
      <c r="F61" s="145"/>
      <c r="G61" s="143"/>
      <c r="H61" s="75"/>
      <c r="I61" s="58"/>
      <c r="J61" s="58"/>
      <c r="K61" s="59"/>
      <c r="L61" s="60"/>
    </row>
    <row r="62" spans="2:12" ht="15" customHeight="1">
      <c r="B62" s="54">
        <v>46099</v>
      </c>
      <c r="C62" s="55" t="s">
        <v>643</v>
      </c>
      <c r="D62" s="145"/>
      <c r="E62" s="145"/>
      <c r="F62" s="145"/>
      <c r="G62" s="143"/>
      <c r="H62" s="75"/>
      <c r="I62" s="58"/>
      <c r="J62" s="58"/>
      <c r="K62" s="63"/>
      <c r="L62" s="60"/>
    </row>
    <row r="63" spans="2:12" ht="15" customHeight="1">
      <c r="B63" s="54">
        <v>46100</v>
      </c>
      <c r="C63" s="55" t="s">
        <v>648</v>
      </c>
      <c r="D63" s="145"/>
      <c r="E63" s="145"/>
      <c r="F63" s="145"/>
      <c r="G63" s="143"/>
      <c r="H63" s="75"/>
      <c r="I63" s="58"/>
      <c r="J63" s="58"/>
      <c r="K63" s="63"/>
      <c r="L63" s="60"/>
    </row>
    <row r="64" spans="2:12" ht="15" customHeight="1">
      <c r="B64" s="54">
        <v>46101</v>
      </c>
      <c r="C64" s="55" t="s">
        <v>651</v>
      </c>
      <c r="D64" s="145"/>
      <c r="E64" s="145"/>
      <c r="F64" s="145"/>
      <c r="G64" s="143"/>
      <c r="H64" s="75"/>
      <c r="I64" s="58"/>
      <c r="J64" s="58"/>
      <c r="K64" s="63"/>
      <c r="L64" s="60"/>
    </row>
    <row r="65" spans="2:12" ht="15" customHeight="1">
      <c r="B65" s="76"/>
      <c r="C65" s="66"/>
      <c r="D65" s="77"/>
      <c r="E65" s="77"/>
      <c r="F65" s="77"/>
      <c r="G65" s="78"/>
      <c r="H65" s="77"/>
      <c r="I65" s="79"/>
      <c r="J65" s="79"/>
      <c r="K65" s="80"/>
    </row>
    <row r="66" spans="2:12" ht="15" customHeight="1">
      <c r="B66" s="76"/>
      <c r="C66" s="66"/>
      <c r="D66" s="77"/>
      <c r="E66" s="77"/>
      <c r="F66" s="77"/>
      <c r="G66" s="78"/>
      <c r="H66" s="77"/>
      <c r="I66" s="79"/>
      <c r="J66" s="79"/>
      <c r="K66" s="80"/>
    </row>
    <row r="67" spans="2:12" ht="15" customHeight="1">
      <c r="B67" s="144" t="str">
        <f>TEXT(Hoja2!$C$3,"d") &amp; " a " &amp; TEXT(Hoja2!$D$3,"d") &amp; " de " &amp; TEXT(Hoja2!$D$3,"mmmm")</f>
        <v>16 a 20 de marzo</v>
      </c>
      <c r="C67" s="144"/>
      <c r="D67" s="70" t="s">
        <v>625</v>
      </c>
      <c r="E67" s="70" t="s">
        <v>626</v>
      </c>
      <c r="F67" s="70" t="s">
        <v>627</v>
      </c>
      <c r="G67" s="70" t="s">
        <v>628</v>
      </c>
      <c r="H67" s="70" t="s">
        <v>629</v>
      </c>
      <c r="I67" s="71" t="s">
        <v>630</v>
      </c>
      <c r="J67" s="71" t="s">
        <v>631</v>
      </c>
      <c r="K67" s="72" t="s">
        <v>128</v>
      </c>
      <c r="L67" s="52" t="s">
        <v>632</v>
      </c>
    </row>
    <row r="68" spans="2:12" ht="14.25" customHeight="1">
      <c r="B68" s="54">
        <v>46097</v>
      </c>
      <c r="C68" s="55" t="s">
        <v>633</v>
      </c>
      <c r="D68" s="145" t="s">
        <v>683</v>
      </c>
      <c r="E68" s="145" t="s">
        <v>684</v>
      </c>
      <c r="F68" s="145" t="s">
        <v>636</v>
      </c>
      <c r="G68" s="143" t="s">
        <v>637</v>
      </c>
      <c r="H68" s="149" t="s">
        <v>707</v>
      </c>
      <c r="I68" s="148">
        <v>46097</v>
      </c>
      <c r="J68" s="148">
        <v>46099</v>
      </c>
      <c r="K68" s="59"/>
      <c r="L68" s="60"/>
    </row>
    <row r="69" spans="2:12" ht="15" customHeight="1">
      <c r="B69" s="54">
        <v>46098</v>
      </c>
      <c r="C69" s="55" t="s">
        <v>640</v>
      </c>
      <c r="D69" s="145"/>
      <c r="E69" s="145"/>
      <c r="F69" s="145"/>
      <c r="G69" s="143"/>
      <c r="H69" s="149"/>
      <c r="I69" s="149"/>
      <c r="J69" s="149"/>
      <c r="K69" s="59"/>
      <c r="L69" s="60"/>
    </row>
    <row r="70" spans="2:12" ht="15" customHeight="1">
      <c r="B70" s="54">
        <v>46099</v>
      </c>
      <c r="C70" s="55" t="s">
        <v>643</v>
      </c>
      <c r="D70" s="145"/>
      <c r="E70" s="145"/>
      <c r="F70" s="145"/>
      <c r="G70" s="143"/>
      <c r="H70" s="86"/>
      <c r="I70" s="83"/>
      <c r="J70" s="83"/>
      <c r="K70" s="63"/>
      <c r="L70" s="60"/>
    </row>
    <row r="71" spans="2:12" ht="15" customHeight="1">
      <c r="B71" s="54">
        <v>46100</v>
      </c>
      <c r="C71" s="55" t="s">
        <v>648</v>
      </c>
      <c r="D71" s="145"/>
      <c r="E71" s="145"/>
      <c r="F71" s="145"/>
      <c r="G71" s="143"/>
      <c r="H71" s="86"/>
      <c r="I71" s="83"/>
      <c r="J71" s="83"/>
      <c r="K71" s="63"/>
      <c r="L71" s="60"/>
    </row>
    <row r="72" spans="2:12" ht="15" customHeight="1">
      <c r="B72" s="54">
        <v>46101</v>
      </c>
      <c r="C72" s="55" t="s">
        <v>651</v>
      </c>
      <c r="D72" s="145"/>
      <c r="E72" s="145"/>
      <c r="F72" s="145"/>
      <c r="G72" s="143"/>
      <c r="H72" s="86"/>
      <c r="I72" s="83"/>
      <c r="J72" s="83"/>
      <c r="K72" s="63"/>
      <c r="L72" s="60"/>
    </row>
    <row r="73" spans="2:12" ht="15" customHeight="1">
      <c r="B73" s="76"/>
      <c r="C73" s="66"/>
      <c r="D73" s="77"/>
      <c r="E73" s="77"/>
      <c r="F73" s="77"/>
      <c r="G73" s="78"/>
      <c r="H73" s="77"/>
      <c r="I73" s="79"/>
      <c r="J73" s="79"/>
      <c r="K73" s="80"/>
    </row>
    <row r="74" spans="2:12" ht="15" customHeight="1">
      <c r="B74" s="76"/>
      <c r="C74" s="66"/>
      <c r="D74" s="77"/>
      <c r="E74" s="77"/>
      <c r="F74" s="77"/>
      <c r="G74" s="78"/>
      <c r="H74" s="77"/>
      <c r="I74" s="79"/>
      <c r="J74" s="79"/>
      <c r="K74" s="80"/>
    </row>
    <row r="75" spans="2:12" ht="15" customHeight="1">
      <c r="B75" s="144" t="str">
        <f>TEXT(Hoja2!$C$3,"d") &amp; " a " &amp; TEXT(Hoja2!$D$3,"d") &amp; " de " &amp; TEXT(Hoja2!$D$3,"mmmm")</f>
        <v>16 a 20 de marzo</v>
      </c>
      <c r="C75" s="144"/>
      <c r="D75" s="70" t="s">
        <v>625</v>
      </c>
      <c r="E75" s="70" t="s">
        <v>626</v>
      </c>
      <c r="F75" s="70" t="s">
        <v>627</v>
      </c>
      <c r="G75" s="70" t="s">
        <v>628</v>
      </c>
      <c r="H75" s="70" t="s">
        <v>629</v>
      </c>
      <c r="I75" s="71" t="s">
        <v>630</v>
      </c>
      <c r="J75" s="71" t="s">
        <v>631</v>
      </c>
      <c r="K75" s="72" t="s">
        <v>128</v>
      </c>
      <c r="L75" s="52" t="s">
        <v>632</v>
      </c>
    </row>
    <row r="76" spans="2:12" ht="14.25" customHeight="1">
      <c r="B76" s="54">
        <v>46097</v>
      </c>
      <c r="C76" s="55" t="s">
        <v>633</v>
      </c>
      <c r="D76" s="145" t="s">
        <v>687</v>
      </c>
      <c r="E76" s="145" t="s">
        <v>688</v>
      </c>
      <c r="F76" s="145" t="s">
        <v>636</v>
      </c>
      <c r="G76" s="143" t="s">
        <v>637</v>
      </c>
      <c r="H76" s="81"/>
      <c r="I76" s="58"/>
      <c r="J76" s="58"/>
      <c r="K76" s="59"/>
      <c r="L76" s="60"/>
    </row>
    <row r="77" spans="2:12" ht="15" customHeight="1">
      <c r="B77" s="54">
        <v>46098</v>
      </c>
      <c r="C77" s="55" t="s">
        <v>640</v>
      </c>
      <c r="D77" s="145"/>
      <c r="E77" s="145"/>
      <c r="F77" s="145"/>
      <c r="G77" s="143"/>
      <c r="H77" s="81"/>
      <c r="I77" s="58"/>
      <c r="J77" s="58"/>
      <c r="K77" s="59"/>
      <c r="L77" s="60"/>
    </row>
    <row r="78" spans="2:12" ht="14.25" customHeight="1">
      <c r="B78" s="54">
        <v>46099</v>
      </c>
      <c r="C78" s="55" t="s">
        <v>643</v>
      </c>
      <c r="D78" s="145"/>
      <c r="E78" s="145"/>
      <c r="F78" s="145"/>
      <c r="G78" s="143"/>
      <c r="H78" s="81"/>
      <c r="I78" s="58"/>
      <c r="J78" s="58"/>
      <c r="K78" s="63"/>
      <c r="L78" s="60"/>
    </row>
    <row r="79" spans="2:12" ht="14.25" customHeight="1">
      <c r="B79" s="54">
        <v>46100</v>
      </c>
      <c r="C79" s="55" t="s">
        <v>648</v>
      </c>
      <c r="D79" s="145"/>
      <c r="E79" s="145"/>
      <c r="F79" s="145"/>
      <c r="G79" s="143"/>
      <c r="H79" s="82"/>
      <c r="I79" s="83"/>
      <c r="J79" s="83"/>
      <c r="K79" s="63"/>
      <c r="L79" s="60"/>
    </row>
    <row r="80" spans="2:12" ht="15" customHeight="1">
      <c r="B80" s="54">
        <v>46101</v>
      </c>
      <c r="C80" s="55" t="s">
        <v>651</v>
      </c>
      <c r="D80" s="145"/>
      <c r="E80" s="145"/>
      <c r="F80" s="145"/>
      <c r="G80" s="143"/>
      <c r="H80" s="82"/>
      <c r="I80" s="83"/>
      <c r="J80" s="83"/>
      <c r="K80" s="63"/>
      <c r="L80" s="60"/>
    </row>
    <row r="81" spans="2:12" ht="15" customHeight="1">
      <c r="B81" s="76"/>
      <c r="C81" s="66"/>
      <c r="D81" s="77"/>
      <c r="E81" s="77"/>
      <c r="F81" s="77"/>
      <c r="G81" s="78"/>
      <c r="H81" s="77"/>
      <c r="I81" s="79"/>
      <c r="J81" s="79"/>
      <c r="K81" s="80"/>
    </row>
    <row r="82" spans="2:12" ht="15" customHeight="1">
      <c r="B82" s="76"/>
      <c r="C82" s="66"/>
      <c r="D82" s="77"/>
      <c r="E82" s="77"/>
      <c r="F82" s="77"/>
      <c r="G82" s="78"/>
      <c r="H82" s="77"/>
      <c r="I82" s="79"/>
      <c r="J82" s="79"/>
      <c r="K82" s="80"/>
    </row>
    <row r="83" spans="2:12" ht="15" customHeight="1">
      <c r="B83" s="144" t="str">
        <f>TEXT(Hoja2!$C$2,"d") &amp; " a " &amp; TEXT(Hoja2!$D$2,"d") &amp; " de " &amp; TEXT(Hoja2!$D$2,"mmmm")</f>
        <v>9 a 13 de marzo</v>
      </c>
      <c r="C83" s="144"/>
      <c r="D83" s="70" t="s">
        <v>625</v>
      </c>
      <c r="E83" s="70" t="s">
        <v>626</v>
      </c>
      <c r="F83" s="70" t="s">
        <v>627</v>
      </c>
      <c r="G83" s="70" t="s">
        <v>628</v>
      </c>
      <c r="H83" s="70" t="s">
        <v>629</v>
      </c>
      <c r="I83" s="71" t="s">
        <v>630</v>
      </c>
      <c r="J83" s="71" t="s">
        <v>631</v>
      </c>
      <c r="K83" s="72" t="s">
        <v>128</v>
      </c>
      <c r="L83" s="52" t="s">
        <v>632</v>
      </c>
    </row>
    <row r="84" spans="2:12" ht="14.25" customHeight="1">
      <c r="B84" s="54">
        <v>46090</v>
      </c>
      <c r="C84" s="55" t="s">
        <v>633</v>
      </c>
      <c r="D84" s="145" t="s">
        <v>691</v>
      </c>
      <c r="E84" s="145" t="s">
        <v>688</v>
      </c>
      <c r="F84" s="145" t="s">
        <v>636</v>
      </c>
      <c r="G84" s="143" t="s">
        <v>637</v>
      </c>
      <c r="H84" s="81"/>
      <c r="I84" s="58"/>
      <c r="J84" s="58"/>
      <c r="K84" s="59"/>
      <c r="L84" s="60"/>
    </row>
    <row r="85" spans="2:12" ht="15" customHeight="1">
      <c r="B85" s="54">
        <v>46091</v>
      </c>
      <c r="C85" s="55" t="s">
        <v>640</v>
      </c>
      <c r="D85" s="145"/>
      <c r="E85" s="145"/>
      <c r="F85" s="145"/>
      <c r="G85" s="143"/>
      <c r="H85" s="81"/>
      <c r="I85" s="58"/>
      <c r="J85" s="58"/>
      <c r="K85" s="59"/>
      <c r="L85" s="60"/>
    </row>
    <row r="86" spans="2:12" ht="15" customHeight="1">
      <c r="B86" s="54">
        <v>46092</v>
      </c>
      <c r="C86" s="55" t="s">
        <v>643</v>
      </c>
      <c r="D86" s="145"/>
      <c r="E86" s="145"/>
      <c r="F86" s="145"/>
      <c r="G86" s="143"/>
      <c r="H86" s="81"/>
      <c r="I86" s="58"/>
      <c r="J86" s="58"/>
      <c r="K86" s="63"/>
      <c r="L86" s="60"/>
    </row>
    <row r="87" spans="2:12" ht="15" customHeight="1">
      <c r="B87" s="54">
        <v>46093</v>
      </c>
      <c r="C87" s="55" t="s">
        <v>648</v>
      </c>
      <c r="D87" s="145"/>
      <c r="E87" s="145"/>
      <c r="F87" s="145"/>
      <c r="G87" s="143"/>
      <c r="H87" s="82"/>
      <c r="I87" s="83"/>
      <c r="J87" s="83"/>
      <c r="K87" s="63"/>
      <c r="L87" s="60"/>
    </row>
    <row r="88" spans="2:12" ht="15" customHeight="1">
      <c r="B88" s="54">
        <v>46094</v>
      </c>
      <c r="C88" s="55" t="s">
        <v>651</v>
      </c>
      <c r="D88" s="145"/>
      <c r="E88" s="145"/>
      <c r="F88" s="145"/>
      <c r="G88" s="143"/>
      <c r="H88" s="82"/>
      <c r="I88" s="83"/>
      <c r="J88" s="83"/>
      <c r="K88" s="63"/>
      <c r="L88" s="60"/>
    </row>
    <row r="89" spans="2:12" ht="15" customHeight="1">
      <c r="B89" s="76"/>
      <c r="C89" s="66"/>
      <c r="D89" s="77"/>
      <c r="E89" s="77"/>
      <c r="F89" s="77"/>
      <c r="G89" s="78"/>
      <c r="H89" s="77"/>
      <c r="I89" s="79"/>
      <c r="J89" s="79"/>
      <c r="K89" s="80"/>
    </row>
    <row r="90" spans="2:12" ht="15" customHeight="1">
      <c r="B90" s="66"/>
      <c r="C90" s="66"/>
      <c r="D90" s="77"/>
      <c r="E90" s="77"/>
      <c r="F90" s="77"/>
      <c r="G90" s="78"/>
      <c r="H90" s="77"/>
      <c r="I90" s="79"/>
      <c r="J90" s="79"/>
      <c r="K90" s="80"/>
    </row>
    <row r="91" spans="2:12" ht="15" customHeight="1">
      <c r="B91" s="144" t="str">
        <f>TEXT(Hoja2!$C$3,"d") &amp; " a " &amp; TEXT(Hoja2!$D$3,"d") &amp; " de " &amp; TEXT(Hoja2!$D$3,"mmmm")</f>
        <v>16 a 20 de marzo</v>
      </c>
      <c r="C91" s="144"/>
      <c r="D91" s="70" t="s">
        <v>625</v>
      </c>
      <c r="E91" s="70" t="s">
        <v>626</v>
      </c>
      <c r="F91" s="70" t="s">
        <v>627</v>
      </c>
      <c r="G91" s="70" t="s">
        <v>628</v>
      </c>
      <c r="H91" s="70" t="s">
        <v>629</v>
      </c>
      <c r="I91" s="71" t="s">
        <v>630</v>
      </c>
      <c r="J91" s="71" t="s">
        <v>631</v>
      </c>
      <c r="K91" s="72" t="s">
        <v>128</v>
      </c>
      <c r="L91" s="52" t="s">
        <v>632</v>
      </c>
    </row>
    <row r="92" spans="2:12" ht="14.25" customHeight="1">
      <c r="B92" s="54">
        <v>46097</v>
      </c>
      <c r="C92" s="55" t="s">
        <v>633</v>
      </c>
      <c r="D92" s="145" t="s">
        <v>377</v>
      </c>
      <c r="E92" s="143" t="s">
        <v>692</v>
      </c>
      <c r="F92" s="143" t="s">
        <v>693</v>
      </c>
      <c r="G92" s="143" t="s">
        <v>694</v>
      </c>
      <c r="H92" s="81" t="s">
        <v>695</v>
      </c>
      <c r="I92" s="58"/>
      <c r="J92" s="58"/>
      <c r="K92" s="59"/>
      <c r="L92" s="60"/>
    </row>
    <row r="93" spans="2:12" ht="15" customHeight="1">
      <c r="B93" s="54">
        <v>46098</v>
      </c>
      <c r="C93" s="55" t="s">
        <v>640</v>
      </c>
      <c r="D93" s="145"/>
      <c r="E93" s="143"/>
      <c r="F93" s="143"/>
      <c r="G93" s="143"/>
      <c r="H93" s="81"/>
      <c r="I93" s="58"/>
      <c r="J93" s="58"/>
      <c r="K93" s="59"/>
      <c r="L93" s="60"/>
    </row>
    <row r="94" spans="2:12" ht="15" customHeight="1">
      <c r="B94" s="54">
        <v>46099</v>
      </c>
      <c r="C94" s="55" t="s">
        <v>643</v>
      </c>
      <c r="D94" s="145"/>
      <c r="E94" s="143"/>
      <c r="F94" s="143"/>
      <c r="G94" s="143"/>
      <c r="H94" s="81"/>
      <c r="I94" s="58"/>
      <c r="J94" s="58"/>
      <c r="K94" s="63"/>
      <c r="L94" s="60"/>
    </row>
    <row r="95" spans="2:12" ht="15" customHeight="1">
      <c r="B95" s="54">
        <v>46100</v>
      </c>
      <c r="C95" s="55" t="s">
        <v>648</v>
      </c>
      <c r="D95" s="145"/>
      <c r="E95" s="143"/>
      <c r="F95" s="143"/>
      <c r="G95" s="143"/>
      <c r="H95" s="81"/>
      <c r="I95" s="58"/>
      <c r="J95" s="58"/>
      <c r="K95" s="63"/>
      <c r="L95" s="60"/>
    </row>
    <row r="96" spans="2:12" ht="15" customHeight="1">
      <c r="B96" s="54">
        <v>46101</v>
      </c>
      <c r="C96" s="55" t="s">
        <v>651</v>
      </c>
      <c r="D96" s="145"/>
      <c r="E96" s="143"/>
      <c r="F96" s="143"/>
      <c r="G96" s="143"/>
      <c r="H96" s="81"/>
      <c r="I96" s="58"/>
      <c r="J96" s="58"/>
      <c r="K96" s="63"/>
      <c r="L96" s="60"/>
    </row>
    <row r="97" spans="2:12" ht="15" customHeight="1">
      <c r="B97" s="76"/>
      <c r="C97" s="66"/>
      <c r="D97" s="77"/>
      <c r="E97" s="77"/>
      <c r="F97" s="77"/>
      <c r="G97" s="78"/>
      <c r="H97" s="77"/>
      <c r="I97" s="79"/>
      <c r="J97" s="79"/>
      <c r="K97" s="80"/>
    </row>
    <row r="98" spans="2:12" ht="15" customHeight="1">
      <c r="B98" s="66"/>
      <c r="C98" s="66"/>
      <c r="D98" s="67"/>
      <c r="E98" s="67"/>
      <c r="F98" s="67"/>
      <c r="G98" s="67"/>
      <c r="H98" s="67"/>
      <c r="I98" s="68"/>
      <c r="J98" s="68"/>
      <c r="K98" s="69"/>
    </row>
    <row r="99" spans="2:12" ht="15" customHeight="1">
      <c r="B99" s="144" t="str">
        <f>TEXT(Hoja2!$C$3,"d") &amp; " a " &amp; TEXT(Hoja2!$D$3,"d") &amp; " de " &amp; TEXT(Hoja2!$D$3,"mmmm")</f>
        <v>16 a 20 de marzo</v>
      </c>
      <c r="C99" s="144"/>
      <c r="D99" s="70" t="s">
        <v>625</v>
      </c>
      <c r="E99" s="70" t="s">
        <v>626</v>
      </c>
      <c r="F99" s="70" t="s">
        <v>627</v>
      </c>
      <c r="G99" s="70" t="s">
        <v>628</v>
      </c>
      <c r="H99" s="70" t="s">
        <v>629</v>
      </c>
      <c r="I99" s="71" t="s">
        <v>630</v>
      </c>
      <c r="J99" s="71" t="s">
        <v>631</v>
      </c>
      <c r="K99" s="72" t="s">
        <v>128</v>
      </c>
      <c r="L99" s="52" t="s">
        <v>632</v>
      </c>
    </row>
    <row r="100" spans="2:12" ht="14.25" customHeight="1">
      <c r="B100" s="54">
        <v>46097</v>
      </c>
      <c r="C100" s="55" t="s">
        <v>633</v>
      </c>
      <c r="D100" s="145" t="s">
        <v>696</v>
      </c>
      <c r="E100" s="145" t="s">
        <v>697</v>
      </c>
      <c r="F100" s="143" t="s">
        <v>693</v>
      </c>
      <c r="G100" s="143" t="s">
        <v>694</v>
      </c>
      <c r="H100" s="87" t="s">
        <v>698</v>
      </c>
      <c r="I100" s="58"/>
      <c r="J100" s="58"/>
      <c r="K100" s="59"/>
      <c r="L100" s="60"/>
    </row>
    <row r="101" spans="2:12" ht="15" customHeight="1">
      <c r="B101" s="54">
        <v>46098</v>
      </c>
      <c r="C101" s="55" t="s">
        <v>640</v>
      </c>
      <c r="D101" s="145"/>
      <c r="E101" s="145"/>
      <c r="F101" s="143"/>
      <c r="G101" s="143"/>
      <c r="H101" s="81"/>
      <c r="I101" s="58"/>
      <c r="J101" s="58"/>
      <c r="K101" s="59"/>
      <c r="L101" s="60"/>
    </row>
    <row r="102" spans="2:12" ht="15" customHeight="1">
      <c r="B102" s="54">
        <v>46099</v>
      </c>
      <c r="C102" s="55" t="s">
        <v>643</v>
      </c>
      <c r="D102" s="145"/>
      <c r="E102" s="145"/>
      <c r="F102" s="143"/>
      <c r="G102" s="143"/>
      <c r="H102" s="81"/>
      <c r="I102" s="58"/>
      <c r="J102" s="58"/>
      <c r="K102" s="63"/>
      <c r="L102" s="60"/>
    </row>
    <row r="103" spans="2:12" ht="15" customHeight="1">
      <c r="B103" s="54">
        <v>46100</v>
      </c>
      <c r="C103" s="55" t="s">
        <v>648</v>
      </c>
      <c r="D103" s="145"/>
      <c r="E103" s="145"/>
      <c r="F103" s="143"/>
      <c r="G103" s="143"/>
      <c r="H103" s="81"/>
      <c r="I103" s="58"/>
      <c r="J103" s="58"/>
      <c r="K103" s="63"/>
      <c r="L103" s="60"/>
    </row>
    <row r="104" spans="2:12" ht="15" customHeight="1">
      <c r="B104" s="54">
        <v>46101</v>
      </c>
      <c r="C104" s="55" t="s">
        <v>651</v>
      </c>
      <c r="D104" s="145"/>
      <c r="E104" s="145"/>
      <c r="F104" s="143"/>
      <c r="G104" s="143"/>
      <c r="H104" s="81"/>
      <c r="I104" s="58"/>
      <c r="J104" s="58"/>
      <c r="K104" s="63"/>
      <c r="L104" s="60"/>
    </row>
  </sheetData>
  <mergeCells count="77">
    <mergeCell ref="B1:L1"/>
    <mergeCell ref="B3:C3"/>
    <mergeCell ref="D4:D8"/>
    <mergeCell ref="E4:E8"/>
    <mergeCell ref="G4:G8"/>
    <mergeCell ref="F6:F8"/>
    <mergeCell ref="B11:C11"/>
    <mergeCell ref="D12:D16"/>
    <mergeCell ref="E12:E16"/>
    <mergeCell ref="F12:F16"/>
    <mergeCell ref="G12:G16"/>
    <mergeCell ref="B19:C19"/>
    <mergeCell ref="D20:D24"/>
    <mergeCell ref="E20:E24"/>
    <mergeCell ref="F21:F24"/>
    <mergeCell ref="G21:G24"/>
    <mergeCell ref="H21:H22"/>
    <mergeCell ref="I21:I22"/>
    <mergeCell ref="J21:J22"/>
    <mergeCell ref="H23:H24"/>
    <mergeCell ref="I23:I24"/>
    <mergeCell ref="J23:J24"/>
    <mergeCell ref="B27:C27"/>
    <mergeCell ref="D28:D32"/>
    <mergeCell ref="E28:E32"/>
    <mergeCell ref="F28:F32"/>
    <mergeCell ref="G28:G32"/>
    <mergeCell ref="I28:I32"/>
    <mergeCell ref="J28:J32"/>
    <mergeCell ref="B35:C35"/>
    <mergeCell ref="D36:D40"/>
    <mergeCell ref="E36:E40"/>
    <mergeCell ref="F36:F40"/>
    <mergeCell ref="G36:G40"/>
    <mergeCell ref="B43:C43"/>
    <mergeCell ref="D44:D48"/>
    <mergeCell ref="E44:E48"/>
    <mergeCell ref="F44:F48"/>
    <mergeCell ref="G44:G48"/>
    <mergeCell ref="B51:C51"/>
    <mergeCell ref="D52:D56"/>
    <mergeCell ref="E52:E56"/>
    <mergeCell ref="F52:F56"/>
    <mergeCell ref="G52:G56"/>
    <mergeCell ref="B59:C59"/>
    <mergeCell ref="D60:D64"/>
    <mergeCell ref="E60:E64"/>
    <mergeCell ref="F60:F64"/>
    <mergeCell ref="G60:G64"/>
    <mergeCell ref="B67:C67"/>
    <mergeCell ref="D68:D72"/>
    <mergeCell ref="E68:E72"/>
    <mergeCell ref="F68:F72"/>
    <mergeCell ref="G68:G72"/>
    <mergeCell ref="H68:H69"/>
    <mergeCell ref="I68:I69"/>
    <mergeCell ref="J68:J69"/>
    <mergeCell ref="B75:C75"/>
    <mergeCell ref="D76:D80"/>
    <mergeCell ref="E76:E80"/>
    <mergeCell ref="F76:F80"/>
    <mergeCell ref="G76:G80"/>
    <mergeCell ref="B83:C83"/>
    <mergeCell ref="D84:D88"/>
    <mergeCell ref="E84:E88"/>
    <mergeCell ref="F84:F88"/>
    <mergeCell ref="G84:G88"/>
    <mergeCell ref="B91:C91"/>
    <mergeCell ref="D92:D96"/>
    <mergeCell ref="E92:E96"/>
    <mergeCell ref="F92:F96"/>
    <mergeCell ref="G92:G96"/>
    <mergeCell ref="B99:C99"/>
    <mergeCell ref="D100:D104"/>
    <mergeCell ref="E100:E104"/>
    <mergeCell ref="F100:F104"/>
    <mergeCell ref="G100:G104"/>
  </mergeCells>
  <dataValidations count="4">
    <dataValidation type="list" allowBlank="1" showErrorMessage="1" errorTitle="Dato fuera de lista" error="Valor no válido. Escoge una opción de la lista." sqref="D4:D700" xr:uid="{00000000-0002-0000-0500-000000000000}">
      <formula1>Lista_Colaboradores</formula1>
      <formula2>0</formula2>
    </dataValidation>
    <dataValidation type="list" allowBlank="1" showErrorMessage="1" errorTitle="Dato fuera de lista" error="Valor no válido. Escoge una opción de la lista." sqref="F4:F700" xr:uid="{00000000-0002-0000-0500-000001000000}">
      <formula1>Lista_Proyectos</formula1>
      <formula2>0</formula2>
    </dataValidation>
    <dataValidation type="list" allowBlank="1" showErrorMessage="1" errorTitle="Dato fuera de lista" error="Valor no válido. Escoge una opción de la lista." sqref="G4:G700" xr:uid="{00000000-0002-0000-0500-000002000000}">
      <formula1>"Naturgy,AFINIA,ETESA,Otro"</formula1>
      <formula2>0</formula2>
    </dataValidation>
    <dataValidation type="list" allowBlank="1" showErrorMessage="1" errorTitle="Dato fuera de lista" error="Valor no válido. Escoge una opción de la lista." sqref="K4:K700" xr:uid="{00000000-0002-0000-0500-000003000000}">
      <formula1>"Finalizada,En proceso,Pausada,No iniciada"</formula1>
      <formula2>0</formula2>
    </dataValidation>
  </dataValidations>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52"/>
  <sheetViews>
    <sheetView showGridLines="0" zoomScaleNormal="100" workbookViewId="0">
      <pane ySplit="2" topLeftCell="A3" activePane="bottomLeft" state="frozen"/>
      <selection pane="bottomLeft"/>
    </sheetView>
  </sheetViews>
  <sheetFormatPr defaultColWidth="8.7109375" defaultRowHeight="15"/>
  <cols>
    <col min="1" max="1" width="24" customWidth="1"/>
    <col min="2" max="2" width="40" customWidth="1"/>
    <col min="3" max="3" width="20" customWidth="1"/>
    <col min="4" max="4" width="13" customWidth="1"/>
    <col min="5" max="5" width="12" customWidth="1"/>
    <col min="6" max="6" width="9" customWidth="1"/>
    <col min="7" max="7" width="14" customWidth="1"/>
    <col min="8" max="8" width="34" customWidth="1"/>
  </cols>
  <sheetData>
    <row r="1" spans="1:8" ht="24" customHeight="1">
      <c r="A1" s="130" t="s">
        <v>708</v>
      </c>
      <c r="B1" s="130"/>
      <c r="C1" s="130"/>
      <c r="D1" s="130"/>
      <c r="E1" s="130"/>
      <c r="F1" s="130"/>
      <c r="G1" s="130"/>
      <c r="H1" s="130"/>
    </row>
    <row r="2" spans="1:8" ht="30" customHeight="1">
      <c r="A2" s="88" t="s">
        <v>120</v>
      </c>
      <c r="B2" s="88" t="s">
        <v>709</v>
      </c>
      <c r="C2" s="88" t="s">
        <v>125</v>
      </c>
      <c r="D2" s="88" t="s">
        <v>710</v>
      </c>
      <c r="E2" s="88" t="s">
        <v>711</v>
      </c>
      <c r="F2" s="88" t="s">
        <v>712</v>
      </c>
      <c r="G2" s="88" t="s">
        <v>128</v>
      </c>
      <c r="H2" s="88" t="s">
        <v>131</v>
      </c>
    </row>
    <row r="3" spans="1:8" ht="30" customHeight="1">
      <c r="A3" s="89" t="s">
        <v>361</v>
      </c>
      <c r="B3" s="90" t="s">
        <v>420</v>
      </c>
      <c r="C3" s="91" t="s">
        <v>713</v>
      </c>
      <c r="D3" s="92">
        <v>46091</v>
      </c>
      <c r="E3" s="93" t="str">
        <f>IF($D3="","",TEXT($D3,"dddd"))</f>
        <v>martes</v>
      </c>
      <c r="F3" s="94">
        <v>8</v>
      </c>
      <c r="G3" s="93" t="s">
        <v>230</v>
      </c>
      <c r="H3" s="90" t="s">
        <v>714</v>
      </c>
    </row>
    <row r="4" spans="1:8" ht="30" customHeight="1">
      <c r="A4" s="89" t="s">
        <v>361</v>
      </c>
      <c r="B4" s="90" t="s">
        <v>421</v>
      </c>
      <c r="C4" s="91" t="s">
        <v>713</v>
      </c>
      <c r="D4" s="92">
        <v>46092</v>
      </c>
      <c r="E4" s="93" t="str">
        <f>IF($D4="","",TEXT($D4,"dddd"))</f>
        <v>miércoles</v>
      </c>
      <c r="F4" s="94">
        <v>7</v>
      </c>
      <c r="G4" s="93" t="s">
        <v>230</v>
      </c>
      <c r="H4" s="90" t="s">
        <v>715</v>
      </c>
    </row>
    <row r="5" spans="1:8" ht="30" customHeight="1">
      <c r="A5" s="89" t="s">
        <v>361</v>
      </c>
      <c r="B5" s="90" t="s">
        <v>420</v>
      </c>
      <c r="C5" s="91" t="s">
        <v>713</v>
      </c>
      <c r="D5" s="92">
        <v>46093</v>
      </c>
      <c r="E5" s="93" t="str">
        <f>IF($D5="","",TEXT($D5,"dddd"))</f>
        <v>jueves</v>
      </c>
      <c r="F5" s="94">
        <v>8</v>
      </c>
      <c r="G5" s="93" t="s">
        <v>230</v>
      </c>
      <c r="H5" s="90" t="s">
        <v>716</v>
      </c>
    </row>
    <row r="6" spans="1:8" ht="30" customHeight="1">
      <c r="A6" s="89" t="s">
        <v>361</v>
      </c>
      <c r="B6" s="90" t="s">
        <v>420</v>
      </c>
      <c r="C6" s="91" t="s">
        <v>713</v>
      </c>
      <c r="D6" s="92">
        <v>46094</v>
      </c>
      <c r="E6" s="93" t="str">
        <f>IF($D6="","",TEXT($D6,"dddd"))</f>
        <v>viernes</v>
      </c>
      <c r="F6" s="94">
        <v>6.5</v>
      </c>
      <c r="G6" s="93" t="s">
        <v>230</v>
      </c>
      <c r="H6" s="90" t="s">
        <v>717</v>
      </c>
    </row>
    <row r="7" spans="1:8" ht="30" customHeight="1">
      <c r="A7" s="89"/>
      <c r="B7" s="90"/>
      <c r="C7" s="91"/>
      <c r="D7" s="92"/>
      <c r="E7" s="93" t="str">
        <f>IF($D7="","",TEXT($D7,"dddd"))</f>
        <v/>
      </c>
      <c r="F7" s="94"/>
      <c r="G7" s="93"/>
      <c r="H7" s="90"/>
    </row>
    <row r="8" spans="1:8" ht="30" customHeight="1">
      <c r="A8" s="89"/>
      <c r="B8" s="90"/>
      <c r="C8" s="91"/>
      <c r="D8" s="92"/>
      <c r="E8" s="93" t="str">
        <f>IF($D8="","",TEXT($D8,"dddd"))</f>
        <v/>
      </c>
      <c r="F8" s="94"/>
      <c r="G8" s="93"/>
      <c r="H8" s="90"/>
    </row>
    <row r="9" spans="1:8" ht="30" customHeight="1">
      <c r="A9" s="89"/>
      <c r="B9" s="90"/>
      <c r="C9" s="91"/>
      <c r="D9" s="92"/>
      <c r="E9" s="93" t="str">
        <f>IF($D9="","",TEXT($D9,"dddd"))</f>
        <v/>
      </c>
      <c r="F9" s="94"/>
      <c r="G9" s="93"/>
      <c r="H9" s="90"/>
    </row>
    <row r="10" spans="1:8" ht="30" customHeight="1">
      <c r="A10" s="89"/>
      <c r="B10" s="90"/>
      <c r="C10" s="91"/>
      <c r="D10" s="92"/>
      <c r="E10" s="93" t="str">
        <f>IF($D10="","",TEXT($D10,"dddd"))</f>
        <v/>
      </c>
      <c r="F10" s="94"/>
      <c r="G10" s="93"/>
      <c r="H10" s="90"/>
    </row>
    <row r="11" spans="1:8" ht="30" customHeight="1">
      <c r="A11" s="89"/>
      <c r="B11" s="90"/>
      <c r="C11" s="91"/>
      <c r="D11" s="92"/>
      <c r="E11" s="93" t="str">
        <f>IF($D11="","",TEXT($D11,"dddd"))</f>
        <v/>
      </c>
      <c r="F11" s="94"/>
      <c r="G11" s="93"/>
      <c r="H11" s="90"/>
    </row>
    <row r="12" spans="1:8" ht="30" customHeight="1">
      <c r="A12" s="89"/>
      <c r="B12" s="90"/>
      <c r="C12" s="91"/>
      <c r="D12" s="92"/>
      <c r="E12" s="93" t="str">
        <f>IF($D12="","",TEXT($D12,"dddd"))</f>
        <v/>
      </c>
      <c r="F12" s="94"/>
      <c r="G12" s="93"/>
      <c r="H12" s="90"/>
    </row>
    <row r="13" spans="1:8" ht="30" customHeight="1">
      <c r="A13" s="89"/>
      <c r="B13" s="90"/>
      <c r="C13" s="91"/>
      <c r="D13" s="92"/>
      <c r="E13" s="93" t="str">
        <f>IF($D13="","",TEXT($D13,"dddd"))</f>
        <v/>
      </c>
      <c r="F13" s="94"/>
      <c r="G13" s="93"/>
      <c r="H13" s="90"/>
    </row>
    <row r="14" spans="1:8" ht="30" customHeight="1">
      <c r="A14" s="89"/>
      <c r="B14" s="90"/>
      <c r="C14" s="91"/>
      <c r="D14" s="92"/>
      <c r="E14" s="93" t="str">
        <f>IF($D14="","",TEXT($D14,"dddd"))</f>
        <v/>
      </c>
      <c r="F14" s="94"/>
      <c r="G14" s="93"/>
      <c r="H14" s="90"/>
    </row>
    <row r="15" spans="1:8" ht="30" customHeight="1">
      <c r="A15" s="89"/>
      <c r="B15" s="90"/>
      <c r="C15" s="91"/>
      <c r="D15" s="92"/>
      <c r="E15" s="93" t="str">
        <f>IF($D15="","",TEXT($D15,"dddd"))</f>
        <v/>
      </c>
      <c r="F15" s="94"/>
      <c r="G15" s="93"/>
      <c r="H15" s="90"/>
    </row>
    <row r="16" spans="1:8" ht="30" customHeight="1">
      <c r="A16" s="89"/>
      <c r="B16" s="90"/>
      <c r="C16" s="91"/>
      <c r="D16" s="92"/>
      <c r="E16" s="93" t="str">
        <f>IF($D16="","",TEXT($D16,"dddd"))</f>
        <v/>
      </c>
      <c r="F16" s="94"/>
      <c r="G16" s="93"/>
      <c r="H16" s="90"/>
    </row>
    <row r="17" spans="1:8" ht="30" customHeight="1">
      <c r="A17" s="89"/>
      <c r="B17" s="90"/>
      <c r="C17" s="91"/>
      <c r="D17" s="92"/>
      <c r="E17" s="93" t="str">
        <f>IF($D17="","",TEXT($D17,"dddd"))</f>
        <v/>
      </c>
      <c r="F17" s="94"/>
      <c r="G17" s="93"/>
      <c r="H17" s="90"/>
    </row>
    <row r="18" spans="1:8" ht="30" customHeight="1">
      <c r="A18" s="89"/>
      <c r="B18" s="90"/>
      <c r="C18" s="91"/>
      <c r="D18" s="92"/>
      <c r="E18" s="93" t="str">
        <f>IF($D18="","",TEXT($D18,"dddd"))</f>
        <v/>
      </c>
      <c r="F18" s="94"/>
      <c r="G18" s="93"/>
      <c r="H18" s="90"/>
    </row>
    <row r="19" spans="1:8" ht="30" customHeight="1">
      <c r="A19" s="89"/>
      <c r="B19" s="90"/>
      <c r="C19" s="91"/>
      <c r="D19" s="92"/>
      <c r="E19" s="93" t="str">
        <f>IF($D19="","",TEXT($D19,"dddd"))</f>
        <v/>
      </c>
      <c r="F19" s="94"/>
      <c r="G19" s="93"/>
      <c r="H19" s="90"/>
    </row>
    <row r="20" spans="1:8" ht="30" customHeight="1">
      <c r="A20" s="89"/>
      <c r="B20" s="90"/>
      <c r="C20" s="91"/>
      <c r="D20" s="92"/>
      <c r="E20" s="93" t="str">
        <f>IF($D20="","",TEXT($D20,"dddd"))</f>
        <v/>
      </c>
      <c r="F20" s="94"/>
      <c r="G20" s="93"/>
      <c r="H20" s="90"/>
    </row>
    <row r="21" spans="1:8" ht="30" customHeight="1">
      <c r="A21" s="89"/>
      <c r="B21" s="90"/>
      <c r="C21" s="91"/>
      <c r="D21" s="92"/>
      <c r="E21" s="93" t="str">
        <f>IF($D21="","",TEXT($D21,"dddd"))</f>
        <v/>
      </c>
      <c r="F21" s="94"/>
      <c r="G21" s="93"/>
      <c r="H21" s="90"/>
    </row>
    <row r="22" spans="1:8" ht="30" customHeight="1">
      <c r="A22" s="89"/>
      <c r="B22" s="90"/>
      <c r="C22" s="91"/>
      <c r="D22" s="92"/>
      <c r="E22" s="93" t="str">
        <f>IF($D22="","",TEXT($D22,"dddd"))</f>
        <v/>
      </c>
      <c r="F22" s="94"/>
      <c r="G22" s="93"/>
      <c r="H22" s="90"/>
    </row>
    <row r="23" spans="1:8" ht="30" customHeight="1">
      <c r="A23" s="89"/>
      <c r="B23" s="90"/>
      <c r="C23" s="91"/>
      <c r="D23" s="92"/>
      <c r="E23" s="93" t="str">
        <f>IF($D23="","",TEXT($D23,"dddd"))</f>
        <v/>
      </c>
      <c r="F23" s="94"/>
      <c r="G23" s="93"/>
      <c r="H23" s="90"/>
    </row>
    <row r="24" spans="1:8" ht="30" customHeight="1">
      <c r="A24" s="89"/>
      <c r="B24" s="90"/>
      <c r="C24" s="91"/>
      <c r="D24" s="92"/>
      <c r="E24" s="93" t="str">
        <f>IF($D24="","",TEXT($D24,"dddd"))</f>
        <v/>
      </c>
      <c r="F24" s="94"/>
      <c r="G24" s="93"/>
      <c r="H24" s="90"/>
    </row>
    <row r="25" spans="1:8" ht="30" customHeight="1">
      <c r="A25" s="89"/>
      <c r="B25" s="90"/>
      <c r="C25" s="91"/>
      <c r="D25" s="92"/>
      <c r="E25" s="93" t="str">
        <f>IF($D25="","",TEXT($D25,"dddd"))</f>
        <v/>
      </c>
      <c r="F25" s="94"/>
      <c r="G25" s="93"/>
      <c r="H25" s="90"/>
    </row>
    <row r="26" spans="1:8" ht="30" customHeight="1">
      <c r="A26" s="89"/>
      <c r="B26" s="90"/>
      <c r="C26" s="91"/>
      <c r="D26" s="92"/>
      <c r="E26" s="93" t="str">
        <f>IF($D26="","",TEXT($D26,"dddd"))</f>
        <v/>
      </c>
      <c r="F26" s="94"/>
      <c r="G26" s="93"/>
      <c r="H26" s="90"/>
    </row>
    <row r="27" spans="1:8" ht="30" customHeight="1">
      <c r="A27" s="89"/>
      <c r="B27" s="90"/>
      <c r="C27" s="91"/>
      <c r="D27" s="92"/>
      <c r="E27" s="93" t="str">
        <f>IF($D27="","",TEXT($D27,"dddd"))</f>
        <v/>
      </c>
      <c r="F27" s="94"/>
      <c r="G27" s="93"/>
      <c r="H27" s="90"/>
    </row>
    <row r="28" spans="1:8" ht="30" customHeight="1">
      <c r="A28" s="89"/>
      <c r="B28" s="90"/>
      <c r="C28" s="91"/>
      <c r="D28" s="92"/>
      <c r="E28" s="93" t="str">
        <f>IF($D28="","",TEXT($D28,"dddd"))</f>
        <v/>
      </c>
      <c r="F28" s="94"/>
      <c r="G28" s="93"/>
      <c r="H28" s="90"/>
    </row>
    <row r="29" spans="1:8" ht="30" customHeight="1">
      <c r="A29" s="89"/>
      <c r="B29" s="90"/>
      <c r="C29" s="91"/>
      <c r="D29" s="92"/>
      <c r="E29" s="93" t="str">
        <f>IF($D29="","",TEXT($D29,"dddd"))</f>
        <v/>
      </c>
      <c r="F29" s="94"/>
      <c r="G29" s="93"/>
      <c r="H29" s="90"/>
    </row>
    <row r="30" spans="1:8" ht="30" customHeight="1">
      <c r="A30" s="89"/>
      <c r="B30" s="90"/>
      <c r="C30" s="91"/>
      <c r="D30" s="92"/>
      <c r="E30" s="93" t="str">
        <f>IF($D30="","",TEXT($D30,"dddd"))</f>
        <v/>
      </c>
      <c r="F30" s="94"/>
      <c r="G30" s="93"/>
      <c r="H30" s="90"/>
    </row>
    <row r="31" spans="1:8" ht="30" customHeight="1">
      <c r="A31" s="89"/>
      <c r="B31" s="90"/>
      <c r="C31" s="91"/>
      <c r="D31" s="92"/>
      <c r="E31" s="93" t="str">
        <f>IF($D31="","",TEXT($D31,"dddd"))</f>
        <v/>
      </c>
      <c r="F31" s="94"/>
      <c r="G31" s="93"/>
      <c r="H31" s="90"/>
    </row>
    <row r="32" spans="1:8" ht="30" customHeight="1">
      <c r="A32" s="89"/>
      <c r="B32" s="90"/>
      <c r="C32" s="91"/>
      <c r="D32" s="92"/>
      <c r="E32" s="93" t="str">
        <f>IF($D32="","",TEXT($D32,"dddd"))</f>
        <v/>
      </c>
      <c r="F32" s="94"/>
      <c r="G32" s="93"/>
      <c r="H32" s="90"/>
    </row>
    <row r="33" spans="1:8" ht="30" customHeight="1">
      <c r="A33" s="89"/>
      <c r="B33" s="90"/>
      <c r="C33" s="91"/>
      <c r="D33" s="92"/>
      <c r="E33" s="93" t="str">
        <f>IF($D33="","",TEXT($D33,"dddd"))</f>
        <v/>
      </c>
      <c r="F33" s="94"/>
      <c r="G33" s="93"/>
      <c r="H33" s="90"/>
    </row>
    <row r="34" spans="1:8" ht="30" customHeight="1">
      <c r="A34" s="89"/>
      <c r="B34" s="90"/>
      <c r="C34" s="91"/>
      <c r="D34" s="92"/>
      <c r="E34" s="93" t="str">
        <f>IF($D34="","",TEXT($D34,"dddd"))</f>
        <v/>
      </c>
      <c r="F34" s="94"/>
      <c r="G34" s="93"/>
      <c r="H34" s="90"/>
    </row>
    <row r="35" spans="1:8" ht="30" customHeight="1">
      <c r="A35" s="89"/>
      <c r="B35" s="90"/>
      <c r="C35" s="91"/>
      <c r="D35" s="92"/>
      <c r="E35" s="93" t="str">
        <f>IF($D35="","",TEXT($D35,"dddd"))</f>
        <v/>
      </c>
      <c r="F35" s="94"/>
      <c r="G35" s="93"/>
      <c r="H35" s="90"/>
    </row>
    <row r="36" spans="1:8" ht="30" customHeight="1">
      <c r="A36" s="89"/>
      <c r="B36" s="90"/>
      <c r="C36" s="91"/>
      <c r="D36" s="92"/>
      <c r="E36" s="93" t="str">
        <f>IF($D36="","",TEXT($D36,"dddd"))</f>
        <v/>
      </c>
      <c r="F36" s="94"/>
      <c r="G36" s="93"/>
      <c r="H36" s="90"/>
    </row>
    <row r="37" spans="1:8" ht="30" customHeight="1">
      <c r="A37" s="89"/>
      <c r="B37" s="90"/>
      <c r="C37" s="91"/>
      <c r="D37" s="92"/>
      <c r="E37" s="93" t="str">
        <f>IF($D37="","",TEXT($D37,"dddd"))</f>
        <v/>
      </c>
      <c r="F37" s="94"/>
      <c r="G37" s="93"/>
      <c r="H37" s="90"/>
    </row>
    <row r="38" spans="1:8" ht="30" customHeight="1">
      <c r="A38" s="89"/>
      <c r="B38" s="90"/>
      <c r="C38" s="91"/>
      <c r="D38" s="92"/>
      <c r="E38" s="93" t="str">
        <f>IF($D38="","",TEXT($D38,"dddd"))</f>
        <v/>
      </c>
      <c r="F38" s="94"/>
      <c r="G38" s="93"/>
      <c r="H38" s="90"/>
    </row>
    <row r="39" spans="1:8" ht="30" customHeight="1">
      <c r="A39" s="89"/>
      <c r="B39" s="90"/>
      <c r="C39" s="91"/>
      <c r="D39" s="92"/>
      <c r="E39" s="93" t="str">
        <f>IF($D39="","",TEXT($D39,"dddd"))</f>
        <v/>
      </c>
      <c r="F39" s="94"/>
      <c r="G39" s="93"/>
      <c r="H39" s="90"/>
    </row>
    <row r="40" spans="1:8" ht="30" customHeight="1">
      <c r="A40" s="89"/>
      <c r="B40" s="90"/>
      <c r="C40" s="91"/>
      <c r="D40" s="92"/>
      <c r="E40" s="93" t="str">
        <f>IF($D40="","",TEXT($D40,"dddd"))</f>
        <v/>
      </c>
      <c r="F40" s="94"/>
      <c r="G40" s="93"/>
      <c r="H40" s="90"/>
    </row>
    <row r="41" spans="1:8" ht="30" customHeight="1">
      <c r="A41" s="89"/>
      <c r="B41" s="90"/>
      <c r="C41" s="91"/>
      <c r="D41" s="92"/>
      <c r="E41" s="93" t="str">
        <f>IF($D41="","",TEXT($D41,"dddd"))</f>
        <v/>
      </c>
      <c r="F41" s="94"/>
      <c r="G41" s="93"/>
      <c r="H41" s="90"/>
    </row>
    <row r="42" spans="1:8" ht="30" customHeight="1">
      <c r="A42" s="89"/>
      <c r="B42" s="90"/>
      <c r="C42" s="91"/>
      <c r="D42" s="92"/>
      <c r="E42" s="93" t="str">
        <f>IF($D42="","",TEXT($D42,"dddd"))</f>
        <v/>
      </c>
      <c r="F42" s="94"/>
      <c r="G42" s="93"/>
      <c r="H42" s="90"/>
    </row>
    <row r="43" spans="1:8" ht="30" customHeight="1">
      <c r="A43" s="89"/>
      <c r="B43" s="90"/>
      <c r="C43" s="91"/>
      <c r="D43" s="92"/>
      <c r="E43" s="93" t="str">
        <f>IF($D43="","",TEXT($D43,"dddd"))</f>
        <v/>
      </c>
      <c r="F43" s="94"/>
      <c r="G43" s="93"/>
      <c r="H43" s="90"/>
    </row>
    <row r="44" spans="1:8" ht="30" customHeight="1">
      <c r="A44" s="89"/>
      <c r="B44" s="90"/>
      <c r="C44" s="91"/>
      <c r="D44" s="92"/>
      <c r="E44" s="93" t="str">
        <f>IF($D44="","",TEXT($D44,"dddd"))</f>
        <v/>
      </c>
      <c r="F44" s="94"/>
      <c r="G44" s="93"/>
      <c r="H44" s="90"/>
    </row>
    <row r="45" spans="1:8" ht="30" customHeight="1">
      <c r="A45" s="89"/>
      <c r="B45" s="90"/>
      <c r="C45" s="91"/>
      <c r="D45" s="92"/>
      <c r="E45" s="93" t="str">
        <f>IF($D45="","",TEXT($D45,"dddd"))</f>
        <v/>
      </c>
      <c r="F45" s="94"/>
      <c r="G45" s="93"/>
      <c r="H45" s="90"/>
    </row>
    <row r="46" spans="1:8" ht="30" customHeight="1">
      <c r="A46" s="89"/>
      <c r="B46" s="90"/>
      <c r="C46" s="91"/>
      <c r="D46" s="92"/>
      <c r="E46" s="93" t="str">
        <f>IF($D46="","",TEXT($D46,"dddd"))</f>
        <v/>
      </c>
      <c r="F46" s="94"/>
      <c r="G46" s="93"/>
      <c r="H46" s="90"/>
    </row>
    <row r="47" spans="1:8" ht="30" customHeight="1">
      <c r="A47" s="89"/>
      <c r="B47" s="90"/>
      <c r="C47" s="91"/>
      <c r="D47" s="92"/>
      <c r="E47" s="93" t="str">
        <f>IF($D47="","",TEXT($D47,"dddd"))</f>
        <v/>
      </c>
      <c r="F47" s="94"/>
      <c r="G47" s="93"/>
      <c r="H47" s="90"/>
    </row>
    <row r="48" spans="1:8" ht="30" customHeight="1">
      <c r="A48" s="89"/>
      <c r="B48" s="90"/>
      <c r="C48" s="91"/>
      <c r="D48" s="92"/>
      <c r="E48" s="93" t="str">
        <f>IF($D48="","",TEXT($D48,"dddd"))</f>
        <v/>
      </c>
      <c r="F48" s="94"/>
      <c r="G48" s="93"/>
      <c r="H48" s="90"/>
    </row>
    <row r="49" spans="1:8" ht="30" customHeight="1">
      <c r="A49" s="89"/>
      <c r="B49" s="90"/>
      <c r="C49" s="91"/>
      <c r="D49" s="92"/>
      <c r="E49" s="93" t="str">
        <f>IF($D49="","",TEXT($D49,"dddd"))</f>
        <v/>
      </c>
      <c r="F49" s="94"/>
      <c r="G49" s="93"/>
      <c r="H49" s="90"/>
    </row>
    <row r="50" spans="1:8" ht="30" customHeight="1">
      <c r="A50" s="89"/>
      <c r="B50" s="90"/>
      <c r="C50" s="91"/>
      <c r="D50" s="92"/>
      <c r="E50" s="93" t="str">
        <f>IF($D50="","",TEXT($D50,"dddd"))</f>
        <v/>
      </c>
      <c r="F50" s="94"/>
      <c r="G50" s="93"/>
      <c r="H50" s="90"/>
    </row>
    <row r="51" spans="1:8" ht="30" customHeight="1">
      <c r="A51" s="89"/>
      <c r="B51" s="90"/>
      <c r="C51" s="91"/>
      <c r="D51" s="92"/>
      <c r="E51" s="93" t="str">
        <f>IF($D51="","",TEXT($D51,"dddd"))</f>
        <v/>
      </c>
      <c r="F51" s="94"/>
      <c r="G51" s="93"/>
      <c r="H51" s="90"/>
    </row>
    <row r="52" spans="1:8" ht="30" customHeight="1">
      <c r="A52" s="89"/>
      <c r="B52" s="90"/>
      <c r="C52" s="91"/>
      <c r="D52" s="92"/>
      <c r="E52" s="93" t="str">
        <f>IF($D52="","",TEXT($D52,"dddd"))</f>
        <v/>
      </c>
      <c r="F52" s="94"/>
      <c r="G52" s="93"/>
      <c r="H52" s="90"/>
    </row>
    <row r="53" spans="1:8" ht="30" customHeight="1">
      <c r="A53" s="89"/>
      <c r="B53" s="90"/>
      <c r="C53" s="91"/>
      <c r="D53" s="92"/>
      <c r="E53" s="93" t="str">
        <f>IF($D53="","",TEXT($D53,"dddd"))</f>
        <v/>
      </c>
      <c r="F53" s="94"/>
      <c r="G53" s="93"/>
      <c r="H53" s="90"/>
    </row>
    <row r="54" spans="1:8" ht="30" customHeight="1">
      <c r="A54" s="89"/>
      <c r="B54" s="90"/>
      <c r="C54" s="91"/>
      <c r="D54" s="92"/>
      <c r="E54" s="93" t="str">
        <f>IF($D54="","",TEXT($D54,"dddd"))</f>
        <v/>
      </c>
      <c r="F54" s="94"/>
      <c r="G54" s="93"/>
      <c r="H54" s="90"/>
    </row>
    <row r="55" spans="1:8" ht="30" customHeight="1">
      <c r="A55" s="89"/>
      <c r="B55" s="90"/>
      <c r="C55" s="91"/>
      <c r="D55" s="92"/>
      <c r="E55" s="93" t="str">
        <f>IF($D55="","",TEXT($D55,"dddd"))</f>
        <v/>
      </c>
      <c r="F55" s="94"/>
      <c r="G55" s="93"/>
      <c r="H55" s="90"/>
    </row>
    <row r="56" spans="1:8" ht="30" customHeight="1">
      <c r="A56" s="89"/>
      <c r="B56" s="90"/>
      <c r="C56" s="91"/>
      <c r="D56" s="92"/>
      <c r="E56" s="93" t="str">
        <f>IF($D56="","",TEXT($D56,"dddd"))</f>
        <v/>
      </c>
      <c r="F56" s="94"/>
      <c r="G56" s="93"/>
      <c r="H56" s="90"/>
    </row>
    <row r="57" spans="1:8" ht="30" customHeight="1">
      <c r="A57" s="89"/>
      <c r="B57" s="90"/>
      <c r="C57" s="91"/>
      <c r="D57" s="92"/>
      <c r="E57" s="93" t="str">
        <f>IF($D57="","",TEXT($D57,"dddd"))</f>
        <v/>
      </c>
      <c r="F57" s="94"/>
      <c r="G57" s="93"/>
      <c r="H57" s="90"/>
    </row>
    <row r="58" spans="1:8" ht="30" customHeight="1">
      <c r="A58" s="89"/>
      <c r="B58" s="90"/>
      <c r="C58" s="91"/>
      <c r="D58" s="92"/>
      <c r="E58" s="93" t="str">
        <f>IF($D58="","",TEXT($D58,"dddd"))</f>
        <v/>
      </c>
      <c r="F58" s="94"/>
      <c r="G58" s="93"/>
      <c r="H58" s="90"/>
    </row>
    <row r="59" spans="1:8" ht="30" customHeight="1">
      <c r="A59" s="89"/>
      <c r="B59" s="90"/>
      <c r="C59" s="91"/>
      <c r="D59" s="92"/>
      <c r="E59" s="93" t="str">
        <f>IF($D59="","",TEXT($D59,"dddd"))</f>
        <v/>
      </c>
      <c r="F59" s="94"/>
      <c r="G59" s="93"/>
      <c r="H59" s="90"/>
    </row>
    <row r="60" spans="1:8" ht="30" customHeight="1">
      <c r="A60" s="89"/>
      <c r="B60" s="90"/>
      <c r="C60" s="91"/>
      <c r="D60" s="92"/>
      <c r="E60" s="93" t="str">
        <f>IF($D60="","",TEXT($D60,"dddd"))</f>
        <v/>
      </c>
      <c r="F60" s="94"/>
      <c r="G60" s="93"/>
      <c r="H60" s="90"/>
    </row>
    <row r="61" spans="1:8" ht="30" customHeight="1">
      <c r="A61" s="89"/>
      <c r="B61" s="90"/>
      <c r="C61" s="91"/>
      <c r="D61" s="92"/>
      <c r="E61" s="93" t="str">
        <f>IF($D61="","",TEXT($D61,"dddd"))</f>
        <v/>
      </c>
      <c r="F61" s="94"/>
      <c r="G61" s="93"/>
      <c r="H61" s="90"/>
    </row>
    <row r="62" spans="1:8" ht="30" customHeight="1">
      <c r="A62" s="89"/>
      <c r="B62" s="90"/>
      <c r="C62" s="91"/>
      <c r="D62" s="92"/>
      <c r="E62" s="93" t="str">
        <f>IF($D62="","",TEXT($D62,"dddd"))</f>
        <v/>
      </c>
      <c r="F62" s="94"/>
      <c r="G62" s="93"/>
      <c r="H62" s="90"/>
    </row>
    <row r="63" spans="1:8" ht="30" customHeight="1">
      <c r="A63" s="89"/>
      <c r="B63" s="90"/>
      <c r="C63" s="91"/>
      <c r="D63" s="92"/>
      <c r="E63" s="93" t="str">
        <f>IF($D63="","",TEXT($D63,"dddd"))</f>
        <v/>
      </c>
      <c r="F63" s="94"/>
      <c r="G63" s="93"/>
      <c r="H63" s="90"/>
    </row>
    <row r="64" spans="1:8" ht="30" customHeight="1">
      <c r="A64" s="89"/>
      <c r="B64" s="90"/>
      <c r="C64" s="91"/>
      <c r="D64" s="92"/>
      <c r="E64" s="93" t="str">
        <f>IF($D64="","",TEXT($D64,"dddd"))</f>
        <v/>
      </c>
      <c r="F64" s="94"/>
      <c r="G64" s="93"/>
      <c r="H64" s="90"/>
    </row>
    <row r="65" spans="1:8" ht="30" customHeight="1">
      <c r="A65" s="89"/>
      <c r="B65" s="90"/>
      <c r="C65" s="91"/>
      <c r="D65" s="92"/>
      <c r="E65" s="93" t="str">
        <f>IF($D65="","",TEXT($D65,"dddd"))</f>
        <v/>
      </c>
      <c r="F65" s="94"/>
      <c r="G65" s="93"/>
      <c r="H65" s="90"/>
    </row>
    <row r="66" spans="1:8" ht="30" customHeight="1">
      <c r="A66" s="89"/>
      <c r="B66" s="90"/>
      <c r="C66" s="91"/>
      <c r="D66" s="92"/>
      <c r="E66" s="93" t="str">
        <f>IF($D66="","",TEXT($D66,"dddd"))</f>
        <v/>
      </c>
      <c r="F66" s="94"/>
      <c r="G66" s="93"/>
      <c r="H66" s="90"/>
    </row>
    <row r="67" spans="1:8" ht="30" customHeight="1">
      <c r="A67" s="89"/>
      <c r="B67" s="90"/>
      <c r="C67" s="91"/>
      <c r="D67" s="92"/>
      <c r="E67" s="93" t="str">
        <f>IF($D67="","",TEXT($D67,"dddd"))</f>
        <v/>
      </c>
      <c r="F67" s="94"/>
      <c r="G67" s="93"/>
      <c r="H67" s="90"/>
    </row>
    <row r="68" spans="1:8" ht="30" customHeight="1">
      <c r="A68" s="89"/>
      <c r="B68" s="90"/>
      <c r="C68" s="91"/>
      <c r="D68" s="92"/>
      <c r="E68" s="93" t="str">
        <f>IF($D68="","",TEXT($D68,"dddd"))</f>
        <v/>
      </c>
      <c r="F68" s="94"/>
      <c r="G68" s="93"/>
      <c r="H68" s="90"/>
    </row>
    <row r="69" spans="1:8" ht="30" customHeight="1">
      <c r="A69" s="89"/>
      <c r="B69" s="90"/>
      <c r="C69" s="91"/>
      <c r="D69" s="92"/>
      <c r="E69" s="93" t="str">
        <f>IF($D69="","",TEXT($D69,"dddd"))</f>
        <v/>
      </c>
      <c r="F69" s="94"/>
      <c r="G69" s="93"/>
      <c r="H69" s="90"/>
    </row>
    <row r="70" spans="1:8" ht="30" customHeight="1">
      <c r="A70" s="89"/>
      <c r="B70" s="90"/>
      <c r="C70" s="91"/>
      <c r="D70" s="92"/>
      <c r="E70" s="93" t="str">
        <f>IF($D70="","",TEXT($D70,"dddd"))</f>
        <v/>
      </c>
      <c r="F70" s="94"/>
      <c r="G70" s="93"/>
      <c r="H70" s="90"/>
    </row>
    <row r="71" spans="1:8" ht="30" customHeight="1">
      <c r="A71" s="89"/>
      <c r="B71" s="90"/>
      <c r="C71" s="91"/>
      <c r="D71" s="92"/>
      <c r="E71" s="93" t="str">
        <f>IF($D71="","",TEXT($D71,"dddd"))</f>
        <v/>
      </c>
      <c r="F71" s="94"/>
      <c r="G71" s="93"/>
      <c r="H71" s="90"/>
    </row>
    <row r="72" spans="1:8" ht="30" customHeight="1">
      <c r="A72" s="89"/>
      <c r="B72" s="90"/>
      <c r="C72" s="91"/>
      <c r="D72" s="92"/>
      <c r="E72" s="93" t="str">
        <f>IF($D72="","",TEXT($D72,"dddd"))</f>
        <v/>
      </c>
      <c r="F72" s="94"/>
      <c r="G72" s="93"/>
      <c r="H72" s="90"/>
    </row>
    <row r="73" spans="1:8" ht="30" customHeight="1">
      <c r="A73" s="89"/>
      <c r="B73" s="90"/>
      <c r="C73" s="91"/>
      <c r="D73" s="92"/>
      <c r="E73" s="93" t="str">
        <f>IF($D73="","",TEXT($D73,"dddd"))</f>
        <v/>
      </c>
      <c r="F73" s="94"/>
      <c r="G73" s="93"/>
      <c r="H73" s="90"/>
    </row>
    <row r="74" spans="1:8" ht="30" customHeight="1">
      <c r="A74" s="89"/>
      <c r="B74" s="90"/>
      <c r="C74" s="91"/>
      <c r="D74" s="92"/>
      <c r="E74" s="93" t="str">
        <f>IF($D74="","",TEXT($D74,"dddd"))</f>
        <v/>
      </c>
      <c r="F74" s="94"/>
      <c r="G74" s="93"/>
      <c r="H74" s="90"/>
    </row>
    <row r="75" spans="1:8" ht="30" customHeight="1">
      <c r="A75" s="89"/>
      <c r="B75" s="90"/>
      <c r="C75" s="91"/>
      <c r="D75" s="92"/>
      <c r="E75" s="93" t="str">
        <f>IF($D75="","",TEXT($D75,"dddd"))</f>
        <v/>
      </c>
      <c r="F75" s="94"/>
      <c r="G75" s="93"/>
      <c r="H75" s="90"/>
    </row>
    <row r="76" spans="1:8" ht="30" customHeight="1">
      <c r="A76" s="89"/>
      <c r="B76" s="90"/>
      <c r="C76" s="91"/>
      <c r="D76" s="92"/>
      <c r="E76" s="93" t="str">
        <f>IF($D76="","",TEXT($D76,"dddd"))</f>
        <v/>
      </c>
      <c r="F76" s="94"/>
      <c r="G76" s="93"/>
      <c r="H76" s="90"/>
    </row>
    <row r="77" spans="1:8" ht="30" customHeight="1">
      <c r="A77" s="89"/>
      <c r="B77" s="90"/>
      <c r="C77" s="91"/>
      <c r="D77" s="92"/>
      <c r="E77" s="93" t="str">
        <f>IF($D77="","",TEXT($D77,"dddd"))</f>
        <v/>
      </c>
      <c r="F77" s="94"/>
      <c r="G77" s="93"/>
      <c r="H77" s="90"/>
    </row>
    <row r="78" spans="1:8" ht="30" customHeight="1">
      <c r="A78" s="89"/>
      <c r="B78" s="90"/>
      <c r="C78" s="91"/>
      <c r="D78" s="92"/>
      <c r="E78" s="93" t="str">
        <f>IF($D78="","",TEXT($D78,"dddd"))</f>
        <v/>
      </c>
      <c r="F78" s="94"/>
      <c r="G78" s="93"/>
      <c r="H78" s="90"/>
    </row>
    <row r="79" spans="1:8" ht="30" customHeight="1">
      <c r="A79" s="89"/>
      <c r="B79" s="90"/>
      <c r="C79" s="91"/>
      <c r="D79" s="92"/>
      <c r="E79" s="93" t="str">
        <f>IF($D79="","",TEXT($D79,"dddd"))</f>
        <v/>
      </c>
      <c r="F79" s="94"/>
      <c r="G79" s="93"/>
      <c r="H79" s="90"/>
    </row>
    <row r="80" spans="1:8" ht="30" customHeight="1">
      <c r="A80" s="89"/>
      <c r="B80" s="90"/>
      <c r="C80" s="91"/>
      <c r="D80" s="92"/>
      <c r="E80" s="93" t="str">
        <f>IF($D80="","",TEXT($D80,"dddd"))</f>
        <v/>
      </c>
      <c r="F80" s="94"/>
      <c r="G80" s="93"/>
      <c r="H80" s="90"/>
    </row>
    <row r="81" spans="1:8" ht="30" customHeight="1">
      <c r="A81" s="89"/>
      <c r="B81" s="90"/>
      <c r="C81" s="91"/>
      <c r="D81" s="92"/>
      <c r="E81" s="93" t="str">
        <f>IF($D81="","",TEXT($D81,"dddd"))</f>
        <v/>
      </c>
      <c r="F81" s="94"/>
      <c r="G81" s="93"/>
      <c r="H81" s="90"/>
    </row>
    <row r="82" spans="1:8" ht="30" customHeight="1">
      <c r="A82" s="89"/>
      <c r="B82" s="90"/>
      <c r="C82" s="91"/>
      <c r="D82" s="92"/>
      <c r="E82" s="93" t="str">
        <f>IF($D82="","",TEXT($D82,"dddd"))</f>
        <v/>
      </c>
      <c r="F82" s="94"/>
      <c r="G82" s="93"/>
      <c r="H82" s="90"/>
    </row>
    <row r="83" spans="1:8" ht="30" customHeight="1">
      <c r="A83" s="89"/>
      <c r="B83" s="90"/>
      <c r="C83" s="91"/>
      <c r="D83" s="92"/>
      <c r="E83" s="93" t="str">
        <f>IF($D83="","",TEXT($D83,"dddd"))</f>
        <v/>
      </c>
      <c r="F83" s="94"/>
      <c r="G83" s="93"/>
      <c r="H83" s="90"/>
    </row>
    <row r="84" spans="1:8" ht="30" customHeight="1">
      <c r="A84" s="89"/>
      <c r="B84" s="90"/>
      <c r="C84" s="91"/>
      <c r="D84" s="92"/>
      <c r="E84" s="93" t="str">
        <f>IF($D84="","",TEXT($D84,"dddd"))</f>
        <v/>
      </c>
      <c r="F84" s="94"/>
      <c r="G84" s="93"/>
      <c r="H84" s="90"/>
    </row>
    <row r="85" spans="1:8" ht="30" customHeight="1">
      <c r="A85" s="89"/>
      <c r="B85" s="90"/>
      <c r="C85" s="91"/>
      <c r="D85" s="92"/>
      <c r="E85" s="93" t="str">
        <f>IF($D85="","",TEXT($D85,"dddd"))</f>
        <v/>
      </c>
      <c r="F85" s="94"/>
      <c r="G85" s="93"/>
      <c r="H85" s="90"/>
    </row>
    <row r="86" spans="1:8" ht="30" customHeight="1">
      <c r="A86" s="89"/>
      <c r="B86" s="90"/>
      <c r="C86" s="91"/>
      <c r="D86" s="92"/>
      <c r="E86" s="93" t="str">
        <f>IF($D86="","",TEXT($D86,"dddd"))</f>
        <v/>
      </c>
      <c r="F86" s="94"/>
      <c r="G86" s="93"/>
      <c r="H86" s="90"/>
    </row>
    <row r="87" spans="1:8" ht="30" customHeight="1">
      <c r="A87" s="89"/>
      <c r="B87" s="90"/>
      <c r="C87" s="91"/>
      <c r="D87" s="92"/>
      <c r="E87" s="93" t="str">
        <f>IF($D87="","",TEXT($D87,"dddd"))</f>
        <v/>
      </c>
      <c r="F87" s="94"/>
      <c r="G87" s="93"/>
      <c r="H87" s="90"/>
    </row>
    <row r="88" spans="1:8" ht="30" customHeight="1">
      <c r="A88" s="89"/>
      <c r="B88" s="90"/>
      <c r="C88" s="91"/>
      <c r="D88" s="92"/>
      <c r="E88" s="93" t="str">
        <f>IF($D88="","",TEXT($D88,"dddd"))</f>
        <v/>
      </c>
      <c r="F88" s="94"/>
      <c r="G88" s="93"/>
      <c r="H88" s="90"/>
    </row>
    <row r="89" spans="1:8" ht="30" customHeight="1">
      <c r="A89" s="89"/>
      <c r="B89" s="90"/>
      <c r="C89" s="91"/>
      <c r="D89" s="92"/>
      <c r="E89" s="93" t="str">
        <f>IF($D89="","",TEXT($D89,"dddd"))</f>
        <v/>
      </c>
      <c r="F89" s="94"/>
      <c r="G89" s="93"/>
      <c r="H89" s="90"/>
    </row>
    <row r="90" spans="1:8" ht="30" customHeight="1">
      <c r="A90" s="89"/>
      <c r="B90" s="90"/>
      <c r="C90" s="91"/>
      <c r="D90" s="92"/>
      <c r="E90" s="93" t="str">
        <f>IF($D90="","",TEXT($D90,"dddd"))</f>
        <v/>
      </c>
      <c r="F90" s="94"/>
      <c r="G90" s="93"/>
      <c r="H90" s="90"/>
    </row>
    <row r="91" spans="1:8" ht="30" customHeight="1">
      <c r="A91" s="89"/>
      <c r="B91" s="90"/>
      <c r="C91" s="91"/>
      <c r="D91" s="92"/>
      <c r="E91" s="93" t="str">
        <f>IF($D91="","",TEXT($D91,"dddd"))</f>
        <v/>
      </c>
      <c r="F91" s="94"/>
      <c r="G91" s="93"/>
      <c r="H91" s="90"/>
    </row>
    <row r="92" spans="1:8" ht="30" customHeight="1">
      <c r="A92" s="89"/>
      <c r="B92" s="90"/>
      <c r="C92" s="91"/>
      <c r="D92" s="92"/>
      <c r="E92" s="93" t="str">
        <f>IF($D92="","",TEXT($D92,"dddd"))</f>
        <v/>
      </c>
      <c r="F92" s="94"/>
      <c r="G92" s="93"/>
      <c r="H92" s="90"/>
    </row>
    <row r="93" spans="1:8" ht="30" customHeight="1">
      <c r="A93" s="89"/>
      <c r="B93" s="90"/>
      <c r="C93" s="91"/>
      <c r="D93" s="92"/>
      <c r="E93" s="93" t="str">
        <f>IF($D93="","",TEXT($D93,"dddd"))</f>
        <v/>
      </c>
      <c r="F93" s="94"/>
      <c r="G93" s="93"/>
      <c r="H93" s="90"/>
    </row>
    <row r="94" spans="1:8" ht="30" customHeight="1">
      <c r="A94" s="89"/>
      <c r="B94" s="90"/>
      <c r="C94" s="91"/>
      <c r="D94" s="92"/>
      <c r="E94" s="93" t="str">
        <f>IF($D94="","",TEXT($D94,"dddd"))</f>
        <v/>
      </c>
      <c r="F94" s="94"/>
      <c r="G94" s="93"/>
      <c r="H94" s="90"/>
    </row>
    <row r="95" spans="1:8" ht="30" customHeight="1">
      <c r="A95" s="89"/>
      <c r="B95" s="90"/>
      <c r="C95" s="91"/>
      <c r="D95" s="92"/>
      <c r="E95" s="93" t="str">
        <f>IF($D95="","",TEXT($D95,"dddd"))</f>
        <v/>
      </c>
      <c r="F95" s="94"/>
      <c r="G95" s="93"/>
      <c r="H95" s="90"/>
    </row>
    <row r="96" spans="1:8" ht="30" customHeight="1">
      <c r="A96" s="89"/>
      <c r="B96" s="90"/>
      <c r="C96" s="91"/>
      <c r="D96" s="92"/>
      <c r="E96" s="93" t="str">
        <f>IF($D96="","",TEXT($D96,"dddd"))</f>
        <v/>
      </c>
      <c r="F96" s="94"/>
      <c r="G96" s="93"/>
      <c r="H96" s="90"/>
    </row>
    <row r="97" spans="1:8" ht="30" customHeight="1">
      <c r="A97" s="89"/>
      <c r="B97" s="90"/>
      <c r="C97" s="91"/>
      <c r="D97" s="92"/>
      <c r="E97" s="93" t="str">
        <f>IF($D97="","",TEXT($D97,"dddd"))</f>
        <v/>
      </c>
      <c r="F97" s="94"/>
      <c r="G97" s="93"/>
      <c r="H97" s="90"/>
    </row>
    <row r="98" spans="1:8" ht="30" customHeight="1">
      <c r="A98" s="89"/>
      <c r="B98" s="90"/>
      <c r="C98" s="91"/>
      <c r="D98" s="92"/>
      <c r="E98" s="93" t="str">
        <f>IF($D98="","",TEXT($D98,"dddd"))</f>
        <v/>
      </c>
      <c r="F98" s="94"/>
      <c r="G98" s="93"/>
      <c r="H98" s="90"/>
    </row>
    <row r="99" spans="1:8" ht="30" customHeight="1">
      <c r="A99" s="89"/>
      <c r="B99" s="90"/>
      <c r="C99" s="91"/>
      <c r="D99" s="92"/>
      <c r="E99" s="93" t="str">
        <f>IF($D99="","",TEXT($D99,"dddd"))</f>
        <v/>
      </c>
      <c r="F99" s="94"/>
      <c r="G99" s="93"/>
      <c r="H99" s="90"/>
    </row>
    <row r="100" spans="1:8" ht="30" customHeight="1">
      <c r="A100" s="89"/>
      <c r="B100" s="90"/>
      <c r="C100" s="91"/>
      <c r="D100" s="92"/>
      <c r="E100" s="93" t="str">
        <f>IF($D100="","",TEXT($D100,"dddd"))</f>
        <v/>
      </c>
      <c r="F100" s="94"/>
      <c r="G100" s="93"/>
      <c r="H100" s="90"/>
    </row>
    <row r="101" spans="1:8" ht="30" customHeight="1">
      <c r="A101" s="89"/>
      <c r="B101" s="90"/>
      <c r="C101" s="91"/>
      <c r="D101" s="92"/>
      <c r="E101" s="93" t="str">
        <f>IF($D101="","",TEXT($D101,"dddd"))</f>
        <v/>
      </c>
      <c r="F101" s="94"/>
      <c r="G101" s="93"/>
      <c r="H101" s="90"/>
    </row>
    <row r="102" spans="1:8" ht="30" customHeight="1">
      <c r="A102" s="89"/>
      <c r="B102" s="90"/>
      <c r="C102" s="91"/>
      <c r="D102" s="92"/>
      <c r="E102" s="93" t="str">
        <f>IF($D102="","",TEXT($D102,"dddd"))</f>
        <v/>
      </c>
      <c r="F102" s="94"/>
      <c r="G102" s="93"/>
      <c r="H102" s="90"/>
    </row>
    <row r="103" spans="1:8" ht="30" customHeight="1">
      <c r="A103" s="89"/>
      <c r="B103" s="90"/>
      <c r="C103" s="91"/>
      <c r="D103" s="92"/>
      <c r="E103" s="93" t="str">
        <f>IF($D103="","",TEXT($D103,"dddd"))</f>
        <v/>
      </c>
      <c r="F103" s="94"/>
      <c r="G103" s="93"/>
      <c r="H103" s="90"/>
    </row>
    <row r="104" spans="1:8" ht="30" customHeight="1">
      <c r="A104" s="89"/>
      <c r="B104" s="90"/>
      <c r="C104" s="91"/>
      <c r="D104" s="92"/>
      <c r="E104" s="93" t="str">
        <f>IF($D104="","",TEXT($D104,"dddd"))</f>
        <v/>
      </c>
      <c r="F104" s="94"/>
      <c r="G104" s="93"/>
      <c r="H104" s="90"/>
    </row>
    <row r="105" spans="1:8" ht="30" customHeight="1">
      <c r="A105" s="89"/>
      <c r="B105" s="90"/>
      <c r="C105" s="91"/>
      <c r="D105" s="92"/>
      <c r="E105" s="93" t="str">
        <f>IF($D105="","",TEXT($D105,"dddd"))</f>
        <v/>
      </c>
      <c r="F105" s="94"/>
      <c r="G105" s="93"/>
      <c r="H105" s="90"/>
    </row>
    <row r="106" spans="1:8" ht="30" customHeight="1">
      <c r="A106" s="89"/>
      <c r="B106" s="90"/>
      <c r="C106" s="91"/>
      <c r="D106" s="92"/>
      <c r="E106" s="93" t="str">
        <f>IF($D106="","",TEXT($D106,"dddd"))</f>
        <v/>
      </c>
      <c r="F106" s="94"/>
      <c r="G106" s="93"/>
      <c r="H106" s="90"/>
    </row>
    <row r="107" spans="1:8" ht="30" customHeight="1">
      <c r="A107" s="89"/>
      <c r="B107" s="90"/>
      <c r="C107" s="91"/>
      <c r="D107" s="92"/>
      <c r="E107" s="93" t="str">
        <f>IF($D107="","",TEXT($D107,"dddd"))</f>
        <v/>
      </c>
      <c r="F107" s="94"/>
      <c r="G107" s="93"/>
      <c r="H107" s="90"/>
    </row>
    <row r="108" spans="1:8" ht="30" customHeight="1">
      <c r="A108" s="89"/>
      <c r="B108" s="90"/>
      <c r="C108" s="91"/>
      <c r="D108" s="92"/>
      <c r="E108" s="93" t="str">
        <f>IF($D108="","",TEXT($D108,"dddd"))</f>
        <v/>
      </c>
      <c r="F108" s="94"/>
      <c r="G108" s="93"/>
      <c r="H108" s="90"/>
    </row>
    <row r="109" spans="1:8" ht="30" customHeight="1">
      <c r="A109" s="89"/>
      <c r="B109" s="90"/>
      <c r="C109" s="91"/>
      <c r="D109" s="92"/>
      <c r="E109" s="93" t="str">
        <f>IF($D109="","",TEXT($D109,"dddd"))</f>
        <v/>
      </c>
      <c r="F109" s="94"/>
      <c r="G109" s="93"/>
      <c r="H109" s="90"/>
    </row>
    <row r="110" spans="1:8" ht="30" customHeight="1">
      <c r="A110" s="89"/>
      <c r="B110" s="90"/>
      <c r="C110" s="91"/>
      <c r="D110" s="92"/>
      <c r="E110" s="93" t="str">
        <f>IF($D110="","",TEXT($D110,"dddd"))</f>
        <v/>
      </c>
      <c r="F110" s="94"/>
      <c r="G110" s="93"/>
      <c r="H110" s="90"/>
    </row>
    <row r="111" spans="1:8" ht="30" customHeight="1">
      <c r="A111" s="89"/>
      <c r="B111" s="90"/>
      <c r="C111" s="91"/>
      <c r="D111" s="92"/>
      <c r="E111" s="93" t="str">
        <f>IF($D111="","",TEXT($D111,"dddd"))</f>
        <v/>
      </c>
      <c r="F111" s="94"/>
      <c r="G111" s="93"/>
      <c r="H111" s="90"/>
    </row>
    <row r="112" spans="1:8" ht="30" customHeight="1">
      <c r="A112" s="89"/>
      <c r="B112" s="90"/>
      <c r="C112" s="91"/>
      <c r="D112" s="92"/>
      <c r="E112" s="93" t="str">
        <f>IF($D112="","",TEXT($D112,"dddd"))</f>
        <v/>
      </c>
      <c r="F112" s="94"/>
      <c r="G112" s="93"/>
      <c r="H112" s="90"/>
    </row>
    <row r="113" spans="1:8" ht="30" customHeight="1">
      <c r="A113" s="89"/>
      <c r="B113" s="90"/>
      <c r="C113" s="91"/>
      <c r="D113" s="92"/>
      <c r="E113" s="93" t="str">
        <f>IF($D113="","",TEXT($D113,"dddd"))</f>
        <v/>
      </c>
      <c r="F113" s="94"/>
      <c r="G113" s="93"/>
      <c r="H113" s="90"/>
    </row>
    <row r="114" spans="1:8" ht="30" customHeight="1">
      <c r="A114" s="89"/>
      <c r="B114" s="90"/>
      <c r="C114" s="91"/>
      <c r="D114" s="92"/>
      <c r="E114" s="93" t="str">
        <f>IF($D114="","",TEXT($D114,"dddd"))</f>
        <v/>
      </c>
      <c r="F114" s="94"/>
      <c r="G114" s="93"/>
      <c r="H114" s="90"/>
    </row>
    <row r="115" spans="1:8" ht="30" customHeight="1">
      <c r="A115" s="89"/>
      <c r="B115" s="90"/>
      <c r="C115" s="91"/>
      <c r="D115" s="92"/>
      <c r="E115" s="93" t="str">
        <f>IF($D115="","",TEXT($D115,"dddd"))</f>
        <v/>
      </c>
      <c r="F115" s="94"/>
      <c r="G115" s="93"/>
      <c r="H115" s="90"/>
    </row>
    <row r="116" spans="1:8" ht="30" customHeight="1">
      <c r="A116" s="89"/>
      <c r="B116" s="90"/>
      <c r="C116" s="91"/>
      <c r="D116" s="92"/>
      <c r="E116" s="93" t="str">
        <f>IF($D116="","",TEXT($D116,"dddd"))</f>
        <v/>
      </c>
      <c r="F116" s="94"/>
      <c r="G116" s="93"/>
      <c r="H116" s="90"/>
    </row>
    <row r="117" spans="1:8" ht="30" customHeight="1">
      <c r="A117" s="89"/>
      <c r="B117" s="90"/>
      <c r="C117" s="91"/>
      <c r="D117" s="92"/>
      <c r="E117" s="93" t="str">
        <f>IF($D117="","",TEXT($D117,"dddd"))</f>
        <v/>
      </c>
      <c r="F117" s="94"/>
      <c r="G117" s="93"/>
      <c r="H117" s="90"/>
    </row>
    <row r="118" spans="1:8" ht="30" customHeight="1">
      <c r="A118" s="89"/>
      <c r="B118" s="90"/>
      <c r="C118" s="91"/>
      <c r="D118" s="92"/>
      <c r="E118" s="93" t="str">
        <f>IF($D118="","",TEXT($D118,"dddd"))</f>
        <v/>
      </c>
      <c r="F118" s="94"/>
      <c r="G118" s="93"/>
      <c r="H118" s="90"/>
    </row>
    <row r="119" spans="1:8" ht="30" customHeight="1">
      <c r="A119" s="89"/>
      <c r="B119" s="90"/>
      <c r="C119" s="91"/>
      <c r="D119" s="92"/>
      <c r="E119" s="93" t="str">
        <f>IF($D119="","",TEXT($D119,"dddd"))</f>
        <v/>
      </c>
      <c r="F119" s="94"/>
      <c r="G119" s="93"/>
      <c r="H119" s="90"/>
    </row>
    <row r="120" spans="1:8" ht="30" customHeight="1">
      <c r="A120" s="89"/>
      <c r="B120" s="90"/>
      <c r="C120" s="91"/>
      <c r="D120" s="92"/>
      <c r="E120" s="93" t="str">
        <f>IF($D120="","",TEXT($D120,"dddd"))</f>
        <v/>
      </c>
      <c r="F120" s="94"/>
      <c r="G120" s="93"/>
      <c r="H120" s="90"/>
    </row>
    <row r="121" spans="1:8" ht="30" customHeight="1">
      <c r="A121" s="89"/>
      <c r="B121" s="90"/>
      <c r="C121" s="91"/>
      <c r="D121" s="92"/>
      <c r="E121" s="93" t="str">
        <f>IF($D121="","",TEXT($D121,"dddd"))</f>
        <v/>
      </c>
      <c r="F121" s="94"/>
      <c r="G121" s="93"/>
      <c r="H121" s="90"/>
    </row>
    <row r="122" spans="1:8" ht="30" customHeight="1">
      <c r="A122" s="89"/>
      <c r="B122" s="90"/>
      <c r="C122" s="91"/>
      <c r="D122" s="92"/>
      <c r="E122" s="93" t="str">
        <f>IF($D122="","",TEXT($D122,"dddd"))</f>
        <v/>
      </c>
      <c r="F122" s="94"/>
      <c r="G122" s="93"/>
      <c r="H122" s="90"/>
    </row>
    <row r="123" spans="1:8" ht="30" customHeight="1">
      <c r="A123" s="89"/>
      <c r="B123" s="90"/>
      <c r="C123" s="91"/>
      <c r="D123" s="92"/>
      <c r="E123" s="93" t="str">
        <f>IF($D123="","",TEXT($D123,"dddd"))</f>
        <v/>
      </c>
      <c r="F123" s="94"/>
      <c r="G123" s="93"/>
      <c r="H123" s="90"/>
    </row>
    <row r="124" spans="1:8" ht="30" customHeight="1">
      <c r="A124" s="89"/>
      <c r="B124" s="90"/>
      <c r="C124" s="91"/>
      <c r="D124" s="92"/>
      <c r="E124" s="93" t="str">
        <f>IF($D124="","",TEXT($D124,"dddd"))</f>
        <v/>
      </c>
      <c r="F124" s="94"/>
      <c r="G124" s="93"/>
      <c r="H124" s="90"/>
    </row>
    <row r="125" spans="1:8" ht="30" customHeight="1">
      <c r="A125" s="89"/>
      <c r="B125" s="90"/>
      <c r="C125" s="91"/>
      <c r="D125" s="92"/>
      <c r="E125" s="93" t="str">
        <f>IF($D125="","",TEXT($D125,"dddd"))</f>
        <v/>
      </c>
      <c r="F125" s="94"/>
      <c r="G125" s="93"/>
      <c r="H125" s="90"/>
    </row>
    <row r="126" spans="1:8" ht="30" customHeight="1">
      <c r="A126" s="89"/>
      <c r="B126" s="90"/>
      <c r="C126" s="91"/>
      <c r="D126" s="92"/>
      <c r="E126" s="93" t="str">
        <f>IF($D126="","",TEXT($D126,"dddd"))</f>
        <v/>
      </c>
      <c r="F126" s="94"/>
      <c r="G126" s="93"/>
      <c r="H126" s="90"/>
    </row>
    <row r="127" spans="1:8" ht="30" customHeight="1">
      <c r="A127" s="89"/>
      <c r="B127" s="90"/>
      <c r="C127" s="91"/>
      <c r="D127" s="92"/>
      <c r="E127" s="93" t="str">
        <f>IF($D127="","",TEXT($D127,"dddd"))</f>
        <v/>
      </c>
      <c r="F127" s="94"/>
      <c r="G127" s="93"/>
      <c r="H127" s="90"/>
    </row>
    <row r="128" spans="1:8" ht="30" customHeight="1">
      <c r="A128" s="89"/>
      <c r="B128" s="90"/>
      <c r="C128" s="91"/>
      <c r="D128" s="92"/>
      <c r="E128" s="93" t="str">
        <f>IF($D128="","",TEXT($D128,"dddd"))</f>
        <v/>
      </c>
      <c r="F128" s="94"/>
      <c r="G128" s="93"/>
      <c r="H128" s="90"/>
    </row>
    <row r="129" spans="1:8" ht="30" customHeight="1">
      <c r="A129" s="89"/>
      <c r="B129" s="90"/>
      <c r="C129" s="91"/>
      <c r="D129" s="92"/>
      <c r="E129" s="93" t="str">
        <f>IF($D129="","",TEXT($D129,"dddd"))</f>
        <v/>
      </c>
      <c r="F129" s="94"/>
      <c r="G129" s="93"/>
      <c r="H129" s="90"/>
    </row>
    <row r="130" spans="1:8" ht="30" customHeight="1">
      <c r="A130" s="89"/>
      <c r="B130" s="90"/>
      <c r="C130" s="91"/>
      <c r="D130" s="92"/>
      <c r="E130" s="93" t="str">
        <f>IF($D130="","",TEXT($D130,"dddd"))</f>
        <v/>
      </c>
      <c r="F130" s="94"/>
      <c r="G130" s="93"/>
      <c r="H130" s="90"/>
    </row>
    <row r="131" spans="1:8" ht="30" customHeight="1">
      <c r="A131" s="89"/>
      <c r="B131" s="90"/>
      <c r="C131" s="91"/>
      <c r="D131" s="92"/>
      <c r="E131" s="93" t="str">
        <f>IF($D131="","",TEXT($D131,"dddd"))</f>
        <v/>
      </c>
      <c r="F131" s="94"/>
      <c r="G131" s="93"/>
      <c r="H131" s="90"/>
    </row>
    <row r="132" spans="1:8" ht="30" customHeight="1">
      <c r="A132" s="89"/>
      <c r="B132" s="90"/>
      <c r="C132" s="91"/>
      <c r="D132" s="92"/>
      <c r="E132" s="93" t="str">
        <f>IF($D132="","",TEXT($D132,"dddd"))</f>
        <v/>
      </c>
      <c r="F132" s="94"/>
      <c r="G132" s="93"/>
      <c r="H132" s="90"/>
    </row>
    <row r="133" spans="1:8" ht="30" customHeight="1">
      <c r="A133" s="89"/>
      <c r="B133" s="90"/>
      <c r="C133" s="91"/>
      <c r="D133" s="92"/>
      <c r="E133" s="93" t="str">
        <f>IF($D133="","",TEXT($D133,"dddd"))</f>
        <v/>
      </c>
      <c r="F133" s="94"/>
      <c r="G133" s="93"/>
      <c r="H133" s="90"/>
    </row>
    <row r="134" spans="1:8" ht="30" customHeight="1">
      <c r="A134" s="89"/>
      <c r="B134" s="90"/>
      <c r="C134" s="91"/>
      <c r="D134" s="92"/>
      <c r="E134" s="93" t="str">
        <f>IF($D134="","",TEXT($D134,"dddd"))</f>
        <v/>
      </c>
      <c r="F134" s="94"/>
      <c r="G134" s="93"/>
      <c r="H134" s="90"/>
    </row>
    <row r="135" spans="1:8" ht="30" customHeight="1">
      <c r="A135" s="89"/>
      <c r="B135" s="90"/>
      <c r="C135" s="91"/>
      <c r="D135" s="92"/>
      <c r="E135" s="93" t="str">
        <f>IF($D135="","",TEXT($D135,"dddd"))</f>
        <v/>
      </c>
      <c r="F135" s="94"/>
      <c r="G135" s="93"/>
      <c r="H135" s="90"/>
    </row>
    <row r="136" spans="1:8" ht="30" customHeight="1">
      <c r="A136" s="89"/>
      <c r="B136" s="90"/>
      <c r="C136" s="91"/>
      <c r="D136" s="92"/>
      <c r="E136" s="93" t="str">
        <f>IF($D136="","",TEXT($D136,"dddd"))</f>
        <v/>
      </c>
      <c r="F136" s="94"/>
      <c r="G136" s="93"/>
      <c r="H136" s="90"/>
    </row>
    <row r="137" spans="1:8" ht="30" customHeight="1">
      <c r="A137" s="89"/>
      <c r="B137" s="90"/>
      <c r="C137" s="91"/>
      <c r="D137" s="92"/>
      <c r="E137" s="93" t="str">
        <f>IF($D137="","",TEXT($D137,"dddd"))</f>
        <v/>
      </c>
      <c r="F137" s="94"/>
      <c r="G137" s="93"/>
      <c r="H137" s="90"/>
    </row>
    <row r="138" spans="1:8" ht="30" customHeight="1">
      <c r="A138" s="89"/>
      <c r="B138" s="90"/>
      <c r="C138" s="91"/>
      <c r="D138" s="92"/>
      <c r="E138" s="93" t="str">
        <f>IF($D138="","",TEXT($D138,"dddd"))</f>
        <v/>
      </c>
      <c r="F138" s="94"/>
      <c r="G138" s="93"/>
      <c r="H138" s="90"/>
    </row>
    <row r="139" spans="1:8" ht="30" customHeight="1">
      <c r="A139" s="89"/>
      <c r="B139" s="90"/>
      <c r="C139" s="91"/>
      <c r="D139" s="92"/>
      <c r="E139" s="93" t="str">
        <f>IF($D139="","",TEXT($D139,"dddd"))</f>
        <v/>
      </c>
      <c r="F139" s="94"/>
      <c r="G139" s="93"/>
      <c r="H139" s="90"/>
    </row>
    <row r="140" spans="1:8" ht="30" customHeight="1">
      <c r="A140" s="89"/>
      <c r="B140" s="90"/>
      <c r="C140" s="91"/>
      <c r="D140" s="92"/>
      <c r="E140" s="93" t="str">
        <f>IF($D140="","",TEXT($D140,"dddd"))</f>
        <v/>
      </c>
      <c r="F140" s="94"/>
      <c r="G140" s="93"/>
      <c r="H140" s="90"/>
    </row>
    <row r="141" spans="1:8" ht="30" customHeight="1">
      <c r="A141" s="89"/>
      <c r="B141" s="90"/>
      <c r="C141" s="91"/>
      <c r="D141" s="92"/>
      <c r="E141" s="93" t="str">
        <f>IF($D141="","",TEXT($D141,"dddd"))</f>
        <v/>
      </c>
      <c r="F141" s="94"/>
      <c r="G141" s="93"/>
      <c r="H141" s="90"/>
    </row>
    <row r="142" spans="1:8" ht="30" customHeight="1">
      <c r="A142" s="89"/>
      <c r="B142" s="90"/>
      <c r="C142" s="91"/>
      <c r="D142" s="92"/>
      <c r="E142" s="93" t="str">
        <f>IF($D142="","",TEXT($D142,"dddd"))</f>
        <v/>
      </c>
      <c r="F142" s="94"/>
      <c r="G142" s="93"/>
      <c r="H142" s="90"/>
    </row>
    <row r="143" spans="1:8" ht="30" customHeight="1">
      <c r="A143" s="89"/>
      <c r="B143" s="90"/>
      <c r="C143" s="91"/>
      <c r="D143" s="92"/>
      <c r="E143" s="93" t="str">
        <f>IF($D143="","",TEXT($D143,"dddd"))</f>
        <v/>
      </c>
      <c r="F143" s="94"/>
      <c r="G143" s="93"/>
      <c r="H143" s="90"/>
    </row>
    <row r="144" spans="1:8" ht="30" customHeight="1">
      <c r="A144" s="89"/>
      <c r="B144" s="90"/>
      <c r="C144" s="91"/>
      <c r="D144" s="92"/>
      <c r="E144" s="93" t="str">
        <f>IF($D144="","",TEXT($D144,"dddd"))</f>
        <v/>
      </c>
      <c r="F144" s="94"/>
      <c r="G144" s="93"/>
      <c r="H144" s="90"/>
    </row>
    <row r="145" spans="1:8" ht="30" customHeight="1">
      <c r="A145" s="89"/>
      <c r="B145" s="90"/>
      <c r="C145" s="91"/>
      <c r="D145" s="92"/>
      <c r="E145" s="93" t="str">
        <f>IF($D145="","",TEXT($D145,"dddd"))</f>
        <v/>
      </c>
      <c r="F145" s="94"/>
      <c r="G145" s="93"/>
      <c r="H145" s="90"/>
    </row>
    <row r="146" spans="1:8" ht="30" customHeight="1">
      <c r="A146" s="89"/>
      <c r="B146" s="90"/>
      <c r="C146" s="91"/>
      <c r="D146" s="92"/>
      <c r="E146" s="93" t="str">
        <f>IF($D146="","",TEXT($D146,"dddd"))</f>
        <v/>
      </c>
      <c r="F146" s="94"/>
      <c r="G146" s="93"/>
      <c r="H146" s="90"/>
    </row>
    <row r="147" spans="1:8" ht="30" customHeight="1">
      <c r="A147" s="89"/>
      <c r="B147" s="90"/>
      <c r="C147" s="91"/>
      <c r="D147" s="92"/>
      <c r="E147" s="93" t="str">
        <f>IF($D147="","",TEXT($D147,"dddd"))</f>
        <v/>
      </c>
      <c r="F147" s="94"/>
      <c r="G147" s="93"/>
      <c r="H147" s="90"/>
    </row>
    <row r="148" spans="1:8" ht="30" customHeight="1">
      <c r="A148" s="89"/>
      <c r="B148" s="90"/>
      <c r="C148" s="91"/>
      <c r="D148" s="92"/>
      <c r="E148" s="93" t="str">
        <f>IF($D148="","",TEXT($D148,"dddd"))</f>
        <v/>
      </c>
      <c r="F148" s="94"/>
      <c r="G148" s="93"/>
      <c r="H148" s="90"/>
    </row>
    <row r="149" spans="1:8" ht="30" customHeight="1">
      <c r="A149" s="89"/>
      <c r="B149" s="90"/>
      <c r="C149" s="91"/>
      <c r="D149" s="92"/>
      <c r="E149" s="93" t="str">
        <f>IF($D149="","",TEXT($D149,"dddd"))</f>
        <v/>
      </c>
      <c r="F149" s="94"/>
      <c r="G149" s="93"/>
      <c r="H149" s="90"/>
    </row>
    <row r="150" spans="1:8" ht="30" customHeight="1">
      <c r="A150" s="89"/>
      <c r="B150" s="90"/>
      <c r="C150" s="91"/>
      <c r="D150" s="92"/>
      <c r="E150" s="93" t="str">
        <f>IF($D150="","",TEXT($D150,"dddd"))</f>
        <v/>
      </c>
      <c r="F150" s="94"/>
      <c r="G150" s="93"/>
      <c r="H150" s="90"/>
    </row>
    <row r="151" spans="1:8" ht="30" customHeight="1">
      <c r="A151" s="89"/>
      <c r="B151" s="90"/>
      <c r="C151" s="91"/>
      <c r="D151" s="92"/>
      <c r="E151" s="93" t="str">
        <f>IF($D151="","",TEXT($D151,"dddd"))</f>
        <v/>
      </c>
      <c r="F151" s="94"/>
      <c r="G151" s="93"/>
      <c r="H151" s="90"/>
    </row>
    <row r="152" spans="1:8" ht="30" customHeight="1">
      <c r="A152" s="89"/>
      <c r="B152" s="90"/>
      <c r="C152" s="91"/>
      <c r="D152" s="92"/>
      <c r="E152" s="93" t="str">
        <f>IF($D152="","",TEXT($D152,"dddd"))</f>
        <v/>
      </c>
      <c r="F152" s="94"/>
      <c r="G152" s="93"/>
      <c r="H152" s="90"/>
    </row>
    <row r="153" spans="1:8" ht="30" customHeight="1">
      <c r="A153" s="89"/>
      <c r="B153" s="90"/>
      <c r="C153" s="91"/>
      <c r="D153" s="92"/>
      <c r="E153" s="93" t="str">
        <f>IF($D153="","",TEXT($D153,"dddd"))</f>
        <v/>
      </c>
      <c r="F153" s="94"/>
      <c r="G153" s="93"/>
      <c r="H153" s="90"/>
    </row>
    <row r="154" spans="1:8" ht="30" customHeight="1">
      <c r="A154" s="89"/>
      <c r="B154" s="90"/>
      <c r="C154" s="91"/>
      <c r="D154" s="92"/>
      <c r="E154" s="93" t="str">
        <f>IF($D154="","",TEXT($D154,"dddd"))</f>
        <v/>
      </c>
      <c r="F154" s="94"/>
      <c r="G154" s="93"/>
      <c r="H154" s="90"/>
    </row>
    <row r="155" spans="1:8" ht="30" customHeight="1">
      <c r="A155" s="89"/>
      <c r="B155" s="90"/>
      <c r="C155" s="91"/>
      <c r="D155" s="92"/>
      <c r="E155" s="93" t="str">
        <f>IF($D155="","",TEXT($D155,"dddd"))</f>
        <v/>
      </c>
      <c r="F155" s="94"/>
      <c r="G155" s="93"/>
      <c r="H155" s="90"/>
    </row>
    <row r="156" spans="1:8" ht="30" customHeight="1">
      <c r="A156" s="89"/>
      <c r="B156" s="90"/>
      <c r="C156" s="91"/>
      <c r="D156" s="92"/>
      <c r="E156" s="93" t="str">
        <f>IF($D156="","",TEXT($D156,"dddd"))</f>
        <v/>
      </c>
      <c r="F156" s="94"/>
      <c r="G156" s="93"/>
      <c r="H156" s="90"/>
    </row>
    <row r="157" spans="1:8" ht="30" customHeight="1">
      <c r="A157" s="89"/>
      <c r="B157" s="90"/>
      <c r="C157" s="91"/>
      <c r="D157" s="92"/>
      <c r="E157" s="93" t="str">
        <f>IF($D157="","",TEXT($D157,"dddd"))</f>
        <v/>
      </c>
      <c r="F157" s="94"/>
      <c r="G157" s="93"/>
      <c r="H157" s="90"/>
    </row>
    <row r="158" spans="1:8" ht="30" customHeight="1">
      <c r="A158" s="89"/>
      <c r="B158" s="90"/>
      <c r="C158" s="91"/>
      <c r="D158" s="92"/>
      <c r="E158" s="93" t="str">
        <f>IF($D158="","",TEXT($D158,"dddd"))</f>
        <v/>
      </c>
      <c r="F158" s="94"/>
      <c r="G158" s="93"/>
      <c r="H158" s="90"/>
    </row>
    <row r="159" spans="1:8" ht="30" customHeight="1">
      <c r="A159" s="89"/>
      <c r="B159" s="90"/>
      <c r="C159" s="91"/>
      <c r="D159" s="92"/>
      <c r="E159" s="93" t="str">
        <f>IF($D159="","",TEXT($D159,"dddd"))</f>
        <v/>
      </c>
      <c r="F159" s="94"/>
      <c r="G159" s="93"/>
      <c r="H159" s="90"/>
    </row>
    <row r="160" spans="1:8" ht="30" customHeight="1">
      <c r="A160" s="89"/>
      <c r="B160" s="90"/>
      <c r="C160" s="91"/>
      <c r="D160" s="92"/>
      <c r="E160" s="93" t="str">
        <f>IF($D160="","",TEXT($D160,"dddd"))</f>
        <v/>
      </c>
      <c r="F160" s="94"/>
      <c r="G160" s="93"/>
      <c r="H160" s="90"/>
    </row>
    <row r="161" spans="1:8" ht="30" customHeight="1">
      <c r="A161" s="89"/>
      <c r="B161" s="90"/>
      <c r="C161" s="91"/>
      <c r="D161" s="92"/>
      <c r="E161" s="93" t="str">
        <f>IF($D161="","",TEXT($D161,"dddd"))</f>
        <v/>
      </c>
      <c r="F161" s="94"/>
      <c r="G161" s="93"/>
      <c r="H161" s="90"/>
    </row>
    <row r="162" spans="1:8" ht="30" customHeight="1">
      <c r="A162" s="89"/>
      <c r="B162" s="90"/>
      <c r="C162" s="91"/>
      <c r="D162" s="92"/>
      <c r="E162" s="93" t="str">
        <f>IF($D162="","",TEXT($D162,"dddd"))</f>
        <v/>
      </c>
      <c r="F162" s="94"/>
      <c r="G162" s="93"/>
      <c r="H162" s="90"/>
    </row>
    <row r="163" spans="1:8" ht="30" customHeight="1">
      <c r="A163" s="89"/>
      <c r="B163" s="90"/>
      <c r="C163" s="91"/>
      <c r="D163" s="92"/>
      <c r="E163" s="93" t="str">
        <f>IF($D163="","",TEXT($D163,"dddd"))</f>
        <v/>
      </c>
      <c r="F163" s="94"/>
      <c r="G163" s="93"/>
      <c r="H163" s="90"/>
    </row>
    <row r="164" spans="1:8" ht="30" customHeight="1">
      <c r="A164" s="89"/>
      <c r="B164" s="90"/>
      <c r="C164" s="91"/>
      <c r="D164" s="92"/>
      <c r="E164" s="93" t="str">
        <f>IF($D164="","",TEXT($D164,"dddd"))</f>
        <v/>
      </c>
      <c r="F164" s="94"/>
      <c r="G164" s="93"/>
      <c r="H164" s="90"/>
    </row>
    <row r="165" spans="1:8" ht="30" customHeight="1">
      <c r="A165" s="89"/>
      <c r="B165" s="90"/>
      <c r="C165" s="91"/>
      <c r="D165" s="92"/>
      <c r="E165" s="93" t="str">
        <f>IF($D165="","",TEXT($D165,"dddd"))</f>
        <v/>
      </c>
      <c r="F165" s="94"/>
      <c r="G165" s="93"/>
      <c r="H165" s="90"/>
    </row>
    <row r="166" spans="1:8" ht="30" customHeight="1">
      <c r="A166" s="89"/>
      <c r="B166" s="90"/>
      <c r="C166" s="91"/>
      <c r="D166" s="92"/>
      <c r="E166" s="93" t="str">
        <f>IF($D166="","",TEXT($D166,"dddd"))</f>
        <v/>
      </c>
      <c r="F166" s="94"/>
      <c r="G166" s="93"/>
      <c r="H166" s="90"/>
    </row>
    <row r="167" spans="1:8" ht="30" customHeight="1">
      <c r="A167" s="89"/>
      <c r="B167" s="90"/>
      <c r="C167" s="91"/>
      <c r="D167" s="92"/>
      <c r="E167" s="93" t="str">
        <f>IF($D167="","",TEXT($D167,"dddd"))</f>
        <v/>
      </c>
      <c r="F167" s="94"/>
      <c r="G167" s="93"/>
      <c r="H167" s="90"/>
    </row>
    <row r="168" spans="1:8" ht="30" customHeight="1">
      <c r="A168" s="89"/>
      <c r="B168" s="90"/>
      <c r="C168" s="91"/>
      <c r="D168" s="92"/>
      <c r="E168" s="93" t="str">
        <f>IF($D168="","",TEXT($D168,"dddd"))</f>
        <v/>
      </c>
      <c r="F168" s="94"/>
      <c r="G168" s="93"/>
      <c r="H168" s="90"/>
    </row>
    <row r="169" spans="1:8" ht="30" customHeight="1">
      <c r="A169" s="89"/>
      <c r="B169" s="90"/>
      <c r="C169" s="91"/>
      <c r="D169" s="92"/>
      <c r="E169" s="93" t="str">
        <f>IF($D169="","",TEXT($D169,"dddd"))</f>
        <v/>
      </c>
      <c r="F169" s="94"/>
      <c r="G169" s="93"/>
      <c r="H169" s="90"/>
    </row>
    <row r="170" spans="1:8" ht="30" customHeight="1">
      <c r="A170" s="89"/>
      <c r="B170" s="90"/>
      <c r="C170" s="91"/>
      <c r="D170" s="92"/>
      <c r="E170" s="93" t="str">
        <f>IF($D170="","",TEXT($D170,"dddd"))</f>
        <v/>
      </c>
      <c r="F170" s="94"/>
      <c r="G170" s="93"/>
      <c r="H170" s="90"/>
    </row>
    <row r="171" spans="1:8" ht="30" customHeight="1">
      <c r="A171" s="89"/>
      <c r="B171" s="90"/>
      <c r="C171" s="91"/>
      <c r="D171" s="92"/>
      <c r="E171" s="93" t="str">
        <f>IF($D171="","",TEXT($D171,"dddd"))</f>
        <v/>
      </c>
      <c r="F171" s="94"/>
      <c r="G171" s="93"/>
      <c r="H171" s="90"/>
    </row>
    <row r="172" spans="1:8" ht="30" customHeight="1">
      <c r="A172" s="89"/>
      <c r="B172" s="90"/>
      <c r="C172" s="91"/>
      <c r="D172" s="92"/>
      <c r="E172" s="93" t="str">
        <f>IF($D172="","",TEXT($D172,"dddd"))</f>
        <v/>
      </c>
      <c r="F172" s="94"/>
      <c r="G172" s="93"/>
      <c r="H172" s="90"/>
    </row>
    <row r="173" spans="1:8" ht="30" customHeight="1">
      <c r="A173" s="89"/>
      <c r="B173" s="90"/>
      <c r="C173" s="91"/>
      <c r="D173" s="92"/>
      <c r="E173" s="93" t="str">
        <f>IF($D173="","",TEXT($D173,"dddd"))</f>
        <v/>
      </c>
      <c r="F173" s="94"/>
      <c r="G173" s="93"/>
      <c r="H173" s="90"/>
    </row>
    <row r="174" spans="1:8" ht="30" customHeight="1">
      <c r="A174" s="89"/>
      <c r="B174" s="90"/>
      <c r="C174" s="91"/>
      <c r="D174" s="92"/>
      <c r="E174" s="93" t="str">
        <f>IF($D174="","",TEXT($D174,"dddd"))</f>
        <v/>
      </c>
      <c r="F174" s="94"/>
      <c r="G174" s="93"/>
      <c r="H174" s="90"/>
    </row>
    <row r="175" spans="1:8" ht="30" customHeight="1">
      <c r="A175" s="89"/>
      <c r="B175" s="90"/>
      <c r="C175" s="91"/>
      <c r="D175" s="92"/>
      <c r="E175" s="93" t="str">
        <f>IF($D175="","",TEXT($D175,"dddd"))</f>
        <v/>
      </c>
      <c r="F175" s="94"/>
      <c r="G175" s="93"/>
      <c r="H175" s="90"/>
    </row>
    <row r="176" spans="1:8" ht="30" customHeight="1">
      <c r="A176" s="89"/>
      <c r="B176" s="90"/>
      <c r="C176" s="91"/>
      <c r="D176" s="92"/>
      <c r="E176" s="93" t="str">
        <f>IF($D176="","",TEXT($D176,"dddd"))</f>
        <v/>
      </c>
      <c r="F176" s="94"/>
      <c r="G176" s="93"/>
      <c r="H176" s="90"/>
    </row>
    <row r="177" spans="1:8" ht="30" customHeight="1">
      <c r="A177" s="89"/>
      <c r="B177" s="90"/>
      <c r="C177" s="91"/>
      <c r="D177" s="92"/>
      <c r="E177" s="93" t="str">
        <f>IF($D177="","",TEXT($D177,"dddd"))</f>
        <v/>
      </c>
      <c r="F177" s="94"/>
      <c r="G177" s="93"/>
      <c r="H177" s="90"/>
    </row>
    <row r="178" spans="1:8" ht="30" customHeight="1">
      <c r="A178" s="89"/>
      <c r="B178" s="90"/>
      <c r="C178" s="91"/>
      <c r="D178" s="92"/>
      <c r="E178" s="93" t="str">
        <f>IF($D178="","",TEXT($D178,"dddd"))</f>
        <v/>
      </c>
      <c r="F178" s="94"/>
      <c r="G178" s="93"/>
      <c r="H178" s="90"/>
    </row>
    <row r="179" spans="1:8" ht="30" customHeight="1">
      <c r="A179" s="89"/>
      <c r="B179" s="90"/>
      <c r="C179" s="91"/>
      <c r="D179" s="92"/>
      <c r="E179" s="93" t="str">
        <f>IF($D179="","",TEXT($D179,"dddd"))</f>
        <v/>
      </c>
      <c r="F179" s="94"/>
      <c r="G179" s="93"/>
      <c r="H179" s="90"/>
    </row>
    <row r="180" spans="1:8" ht="30" customHeight="1">
      <c r="A180" s="89"/>
      <c r="B180" s="90"/>
      <c r="C180" s="91"/>
      <c r="D180" s="92"/>
      <c r="E180" s="93" t="str">
        <f>IF($D180="","",TEXT($D180,"dddd"))</f>
        <v/>
      </c>
      <c r="F180" s="94"/>
      <c r="G180" s="93"/>
      <c r="H180" s="90"/>
    </row>
    <row r="181" spans="1:8" ht="30" customHeight="1">
      <c r="A181" s="89"/>
      <c r="B181" s="90"/>
      <c r="C181" s="91"/>
      <c r="D181" s="92"/>
      <c r="E181" s="93" t="str">
        <f>IF($D181="","",TEXT($D181,"dddd"))</f>
        <v/>
      </c>
      <c r="F181" s="94"/>
      <c r="G181" s="93"/>
      <c r="H181" s="90"/>
    </row>
    <row r="182" spans="1:8" ht="30" customHeight="1">
      <c r="A182" s="89"/>
      <c r="B182" s="90"/>
      <c r="C182" s="91"/>
      <c r="D182" s="92"/>
      <c r="E182" s="93" t="str">
        <f>IF($D182="","",TEXT($D182,"dddd"))</f>
        <v/>
      </c>
      <c r="F182" s="94"/>
      <c r="G182" s="93"/>
      <c r="H182" s="90"/>
    </row>
    <row r="183" spans="1:8" ht="30" customHeight="1">
      <c r="A183" s="89"/>
      <c r="B183" s="90"/>
      <c r="C183" s="91"/>
      <c r="D183" s="92"/>
      <c r="E183" s="93" t="str">
        <f>IF($D183="","",TEXT($D183,"dddd"))</f>
        <v/>
      </c>
      <c r="F183" s="94"/>
      <c r="G183" s="93"/>
      <c r="H183" s="90"/>
    </row>
    <row r="184" spans="1:8" ht="30" customHeight="1">
      <c r="A184" s="89"/>
      <c r="B184" s="90"/>
      <c r="C184" s="91"/>
      <c r="D184" s="92"/>
      <c r="E184" s="93" t="str">
        <f>IF($D184="","",TEXT($D184,"dddd"))</f>
        <v/>
      </c>
      <c r="F184" s="94"/>
      <c r="G184" s="93"/>
      <c r="H184" s="90"/>
    </row>
    <row r="185" spans="1:8" ht="30" customHeight="1">
      <c r="A185" s="89"/>
      <c r="B185" s="90"/>
      <c r="C185" s="91"/>
      <c r="D185" s="92"/>
      <c r="E185" s="93" t="str">
        <f>IF($D185="","",TEXT($D185,"dddd"))</f>
        <v/>
      </c>
      <c r="F185" s="94"/>
      <c r="G185" s="93"/>
      <c r="H185" s="90"/>
    </row>
    <row r="186" spans="1:8" ht="30" customHeight="1">
      <c r="A186" s="89"/>
      <c r="B186" s="90"/>
      <c r="C186" s="91"/>
      <c r="D186" s="92"/>
      <c r="E186" s="93" t="str">
        <f>IF($D186="","",TEXT($D186,"dddd"))</f>
        <v/>
      </c>
      <c r="F186" s="94"/>
      <c r="G186" s="93"/>
      <c r="H186" s="90"/>
    </row>
    <row r="187" spans="1:8" ht="30" customHeight="1">
      <c r="A187" s="89"/>
      <c r="B187" s="90"/>
      <c r="C187" s="91"/>
      <c r="D187" s="92"/>
      <c r="E187" s="93" t="str">
        <f>IF($D187="","",TEXT($D187,"dddd"))</f>
        <v/>
      </c>
      <c r="F187" s="94"/>
      <c r="G187" s="93"/>
      <c r="H187" s="90"/>
    </row>
    <row r="188" spans="1:8" ht="30" customHeight="1">
      <c r="A188" s="89"/>
      <c r="B188" s="90"/>
      <c r="C188" s="91"/>
      <c r="D188" s="92"/>
      <c r="E188" s="93" t="str">
        <f>IF($D188="","",TEXT($D188,"dddd"))</f>
        <v/>
      </c>
      <c r="F188" s="94"/>
      <c r="G188" s="93"/>
      <c r="H188" s="90"/>
    </row>
    <row r="189" spans="1:8" ht="30" customHeight="1">
      <c r="A189" s="89"/>
      <c r="B189" s="90"/>
      <c r="C189" s="91"/>
      <c r="D189" s="92"/>
      <c r="E189" s="93" t="str">
        <f>IF($D189="","",TEXT($D189,"dddd"))</f>
        <v/>
      </c>
      <c r="F189" s="94"/>
      <c r="G189" s="93"/>
      <c r="H189" s="90"/>
    </row>
    <row r="190" spans="1:8" ht="30" customHeight="1">
      <c r="A190" s="89"/>
      <c r="B190" s="90"/>
      <c r="C190" s="91"/>
      <c r="D190" s="92"/>
      <c r="E190" s="93" t="str">
        <f>IF($D190="","",TEXT($D190,"dddd"))</f>
        <v/>
      </c>
      <c r="F190" s="94"/>
      <c r="G190" s="93"/>
      <c r="H190" s="90"/>
    </row>
    <row r="191" spans="1:8" ht="30" customHeight="1">
      <c r="A191" s="89"/>
      <c r="B191" s="90"/>
      <c r="C191" s="91"/>
      <c r="D191" s="92"/>
      <c r="E191" s="93" t="str">
        <f>IF($D191="","",TEXT($D191,"dddd"))</f>
        <v/>
      </c>
      <c r="F191" s="94"/>
      <c r="G191" s="93"/>
      <c r="H191" s="90"/>
    </row>
    <row r="192" spans="1:8" ht="30" customHeight="1">
      <c r="A192" s="89"/>
      <c r="B192" s="90"/>
      <c r="C192" s="91"/>
      <c r="D192" s="92"/>
      <c r="E192" s="93" t="str">
        <f>IF($D192="","",TEXT($D192,"dddd"))</f>
        <v/>
      </c>
      <c r="F192" s="94"/>
      <c r="G192" s="93"/>
      <c r="H192" s="90"/>
    </row>
    <row r="193" spans="1:8" ht="30" customHeight="1">
      <c r="A193" s="89"/>
      <c r="B193" s="90"/>
      <c r="C193" s="91"/>
      <c r="D193" s="92"/>
      <c r="E193" s="93" t="str">
        <f>IF($D193="","",TEXT($D193,"dddd"))</f>
        <v/>
      </c>
      <c r="F193" s="94"/>
      <c r="G193" s="93"/>
      <c r="H193" s="90"/>
    </row>
    <row r="194" spans="1:8" ht="30" customHeight="1">
      <c r="A194" s="89"/>
      <c r="B194" s="90"/>
      <c r="C194" s="91"/>
      <c r="D194" s="92"/>
      <c r="E194" s="93" t="str">
        <f>IF($D194="","",TEXT($D194,"dddd"))</f>
        <v/>
      </c>
      <c r="F194" s="94"/>
      <c r="G194" s="93"/>
      <c r="H194" s="90"/>
    </row>
    <row r="195" spans="1:8" ht="30" customHeight="1">
      <c r="A195" s="89"/>
      <c r="B195" s="90"/>
      <c r="C195" s="91"/>
      <c r="D195" s="92"/>
      <c r="E195" s="93" t="str">
        <f>IF($D195="","",TEXT($D195,"dddd"))</f>
        <v/>
      </c>
      <c r="F195" s="94"/>
      <c r="G195" s="93"/>
      <c r="H195" s="90"/>
    </row>
    <row r="196" spans="1:8" ht="30" customHeight="1">
      <c r="A196" s="89"/>
      <c r="B196" s="90"/>
      <c r="C196" s="91"/>
      <c r="D196" s="92"/>
      <c r="E196" s="93" t="str">
        <f>IF($D196="","",TEXT($D196,"dddd"))</f>
        <v/>
      </c>
      <c r="F196" s="94"/>
      <c r="G196" s="93"/>
      <c r="H196" s="90"/>
    </row>
    <row r="197" spans="1:8" ht="30" customHeight="1">
      <c r="A197" s="89"/>
      <c r="B197" s="90"/>
      <c r="C197" s="91"/>
      <c r="D197" s="92"/>
      <c r="E197" s="93" t="str">
        <f>IF($D197="","",TEXT($D197,"dddd"))</f>
        <v/>
      </c>
      <c r="F197" s="94"/>
      <c r="G197" s="93"/>
      <c r="H197" s="90"/>
    </row>
    <row r="198" spans="1:8" ht="30" customHeight="1">
      <c r="A198" s="89"/>
      <c r="B198" s="90"/>
      <c r="C198" s="91"/>
      <c r="D198" s="92"/>
      <c r="E198" s="93" t="str">
        <f>IF($D198="","",TEXT($D198,"dddd"))</f>
        <v/>
      </c>
      <c r="F198" s="94"/>
      <c r="G198" s="93"/>
      <c r="H198" s="90"/>
    </row>
    <row r="199" spans="1:8" ht="30" customHeight="1">
      <c r="A199" s="89"/>
      <c r="B199" s="90"/>
      <c r="C199" s="91"/>
      <c r="D199" s="92"/>
      <c r="E199" s="93" t="str">
        <f>IF($D199="","",TEXT($D199,"dddd"))</f>
        <v/>
      </c>
      <c r="F199" s="94"/>
      <c r="G199" s="93"/>
      <c r="H199" s="90"/>
    </row>
    <row r="200" spans="1:8" ht="30" customHeight="1">
      <c r="A200" s="89"/>
      <c r="B200" s="90"/>
      <c r="C200" s="91"/>
      <c r="D200" s="92"/>
      <c r="E200" s="93" t="str">
        <f>IF($D200="","",TEXT($D200,"dddd"))</f>
        <v/>
      </c>
      <c r="F200" s="94"/>
      <c r="G200" s="93"/>
      <c r="H200" s="90"/>
    </row>
    <row r="201" spans="1:8" ht="30" customHeight="1">
      <c r="A201" s="89"/>
      <c r="B201" s="90"/>
      <c r="C201" s="91"/>
      <c r="D201" s="92"/>
      <c r="E201" s="93" t="str">
        <f>IF($D201="","",TEXT($D201,"dddd"))</f>
        <v/>
      </c>
      <c r="F201" s="94"/>
      <c r="G201" s="93"/>
      <c r="H201" s="90"/>
    </row>
    <row r="202" spans="1:8" ht="30" customHeight="1">
      <c r="A202" s="89"/>
      <c r="B202" s="90"/>
      <c r="C202" s="91"/>
      <c r="D202" s="92"/>
      <c r="E202" s="93" t="str">
        <f>IF($D202="","",TEXT($D202,"dddd"))</f>
        <v/>
      </c>
      <c r="F202" s="94"/>
      <c r="G202" s="93"/>
      <c r="H202" s="90"/>
    </row>
    <row r="203" spans="1:8" ht="30" customHeight="1">
      <c r="A203" s="89"/>
      <c r="B203" s="90"/>
      <c r="C203" s="91"/>
      <c r="D203" s="92"/>
      <c r="E203" s="93" t="str">
        <f>IF($D203="","",TEXT($D203,"dddd"))</f>
        <v/>
      </c>
      <c r="F203" s="94"/>
      <c r="G203" s="93"/>
      <c r="H203" s="90"/>
    </row>
    <row r="204" spans="1:8" ht="30" customHeight="1">
      <c r="A204" s="89"/>
      <c r="B204" s="90"/>
      <c r="C204" s="91"/>
      <c r="D204" s="92"/>
      <c r="E204" s="93" t="str">
        <f>IF($D204="","",TEXT($D204,"dddd"))</f>
        <v/>
      </c>
      <c r="F204" s="94"/>
      <c r="G204" s="93"/>
      <c r="H204" s="90"/>
    </row>
    <row r="205" spans="1:8" ht="30" customHeight="1">
      <c r="A205" s="89"/>
      <c r="B205" s="90"/>
      <c r="C205" s="91"/>
      <c r="D205" s="92"/>
      <c r="E205" s="93" t="str">
        <f>IF($D205="","",TEXT($D205,"dddd"))</f>
        <v/>
      </c>
      <c r="F205" s="94"/>
      <c r="G205" s="93"/>
      <c r="H205" s="90"/>
    </row>
    <row r="206" spans="1:8" ht="30" customHeight="1">
      <c r="A206" s="89"/>
      <c r="B206" s="90"/>
      <c r="C206" s="91"/>
      <c r="D206" s="92"/>
      <c r="E206" s="93" t="str">
        <f>IF($D206="","",TEXT($D206,"dddd"))</f>
        <v/>
      </c>
      <c r="F206" s="94"/>
      <c r="G206" s="93"/>
      <c r="H206" s="90"/>
    </row>
    <row r="207" spans="1:8" ht="30" customHeight="1">
      <c r="A207" s="89"/>
      <c r="B207" s="90"/>
      <c r="C207" s="91"/>
      <c r="D207" s="92"/>
      <c r="E207" s="93" t="str">
        <f>IF($D207="","",TEXT($D207,"dddd"))</f>
        <v/>
      </c>
      <c r="F207" s="94"/>
      <c r="G207" s="93"/>
      <c r="H207" s="90"/>
    </row>
    <row r="208" spans="1:8" ht="30" customHeight="1">
      <c r="A208" s="89"/>
      <c r="B208" s="90"/>
      <c r="C208" s="91"/>
      <c r="D208" s="92"/>
      <c r="E208" s="93" t="str">
        <f>IF($D208="","",TEXT($D208,"dddd"))</f>
        <v/>
      </c>
      <c r="F208" s="94"/>
      <c r="G208" s="93"/>
      <c r="H208" s="90"/>
    </row>
    <row r="209" spans="1:8" ht="30" customHeight="1">
      <c r="A209" s="89"/>
      <c r="B209" s="90"/>
      <c r="C209" s="91"/>
      <c r="D209" s="92"/>
      <c r="E209" s="93" t="str">
        <f>IF($D209="","",TEXT($D209,"dddd"))</f>
        <v/>
      </c>
      <c r="F209" s="94"/>
      <c r="G209" s="93"/>
      <c r="H209" s="90"/>
    </row>
    <row r="210" spans="1:8" ht="30" customHeight="1">
      <c r="A210" s="89"/>
      <c r="B210" s="90"/>
      <c r="C210" s="91"/>
      <c r="D210" s="92"/>
      <c r="E210" s="93" t="str">
        <f>IF($D210="","",TEXT($D210,"dddd"))</f>
        <v/>
      </c>
      <c r="F210" s="94"/>
      <c r="G210" s="93"/>
      <c r="H210" s="90"/>
    </row>
    <row r="211" spans="1:8" ht="30" customHeight="1">
      <c r="A211" s="89"/>
      <c r="B211" s="90"/>
      <c r="C211" s="91"/>
      <c r="D211" s="92"/>
      <c r="E211" s="93" t="str">
        <f>IF($D211="","",TEXT($D211,"dddd"))</f>
        <v/>
      </c>
      <c r="F211" s="94"/>
      <c r="G211" s="93"/>
      <c r="H211" s="90"/>
    </row>
    <row r="212" spans="1:8" ht="30" customHeight="1">
      <c r="A212" s="89"/>
      <c r="B212" s="90"/>
      <c r="C212" s="91"/>
      <c r="D212" s="92"/>
      <c r="E212" s="93" t="str">
        <f>IF($D212="","",TEXT($D212,"dddd"))</f>
        <v/>
      </c>
      <c r="F212" s="94"/>
      <c r="G212" s="93"/>
      <c r="H212" s="90"/>
    </row>
    <row r="213" spans="1:8" ht="30" customHeight="1">
      <c r="A213" s="89"/>
      <c r="B213" s="90"/>
      <c r="C213" s="91"/>
      <c r="D213" s="92"/>
      <c r="E213" s="93" t="str">
        <f>IF($D213="","",TEXT($D213,"dddd"))</f>
        <v/>
      </c>
      <c r="F213" s="94"/>
      <c r="G213" s="93"/>
      <c r="H213" s="90"/>
    </row>
    <row r="214" spans="1:8" ht="30" customHeight="1">
      <c r="A214" s="89"/>
      <c r="B214" s="90"/>
      <c r="C214" s="91"/>
      <c r="D214" s="92"/>
      <c r="E214" s="93" t="str">
        <f>IF($D214="","",TEXT($D214,"dddd"))</f>
        <v/>
      </c>
      <c r="F214" s="94"/>
      <c r="G214" s="93"/>
      <c r="H214" s="90"/>
    </row>
    <row r="215" spans="1:8" ht="30" customHeight="1">
      <c r="A215" s="89"/>
      <c r="B215" s="90"/>
      <c r="C215" s="91"/>
      <c r="D215" s="92"/>
      <c r="E215" s="93" t="str">
        <f>IF($D215="","",TEXT($D215,"dddd"))</f>
        <v/>
      </c>
      <c r="F215" s="94"/>
      <c r="G215" s="93"/>
      <c r="H215" s="90"/>
    </row>
    <row r="216" spans="1:8" ht="30" customHeight="1">
      <c r="A216" s="89"/>
      <c r="B216" s="90"/>
      <c r="C216" s="91"/>
      <c r="D216" s="92"/>
      <c r="E216" s="93" t="str">
        <f>IF($D216="","",TEXT($D216,"dddd"))</f>
        <v/>
      </c>
      <c r="F216" s="94"/>
      <c r="G216" s="93"/>
      <c r="H216" s="90"/>
    </row>
    <row r="217" spans="1:8" ht="30" customHeight="1">
      <c r="A217" s="89"/>
      <c r="B217" s="90"/>
      <c r="C217" s="91"/>
      <c r="D217" s="92"/>
      <c r="E217" s="93" t="str">
        <f>IF($D217="","",TEXT($D217,"dddd"))</f>
        <v/>
      </c>
      <c r="F217" s="94"/>
      <c r="G217" s="93"/>
      <c r="H217" s="90"/>
    </row>
    <row r="218" spans="1:8" ht="30" customHeight="1">
      <c r="A218" s="89"/>
      <c r="B218" s="90"/>
      <c r="C218" s="91"/>
      <c r="D218" s="92"/>
      <c r="E218" s="93" t="str">
        <f>IF($D218="","",TEXT($D218,"dddd"))</f>
        <v/>
      </c>
      <c r="F218" s="94"/>
      <c r="G218" s="93"/>
      <c r="H218" s="90"/>
    </row>
    <row r="219" spans="1:8" ht="30" customHeight="1">
      <c r="A219" s="89"/>
      <c r="B219" s="90"/>
      <c r="C219" s="91"/>
      <c r="D219" s="92"/>
      <c r="E219" s="93" t="str">
        <f>IF($D219="","",TEXT($D219,"dddd"))</f>
        <v/>
      </c>
      <c r="F219" s="94"/>
      <c r="G219" s="93"/>
      <c r="H219" s="90"/>
    </row>
    <row r="220" spans="1:8" ht="30" customHeight="1">
      <c r="A220" s="89"/>
      <c r="B220" s="90"/>
      <c r="C220" s="91"/>
      <c r="D220" s="92"/>
      <c r="E220" s="93" t="str">
        <f>IF($D220="","",TEXT($D220,"dddd"))</f>
        <v/>
      </c>
      <c r="F220" s="94"/>
      <c r="G220" s="93"/>
      <c r="H220" s="90"/>
    </row>
    <row r="221" spans="1:8" ht="30" customHeight="1">
      <c r="A221" s="89"/>
      <c r="B221" s="90"/>
      <c r="C221" s="91"/>
      <c r="D221" s="92"/>
      <c r="E221" s="93" t="str">
        <f>IF($D221="","",TEXT($D221,"dddd"))</f>
        <v/>
      </c>
      <c r="F221" s="94"/>
      <c r="G221" s="93"/>
      <c r="H221" s="90"/>
    </row>
    <row r="222" spans="1:8" ht="30" customHeight="1">
      <c r="A222" s="89"/>
      <c r="B222" s="90"/>
      <c r="C222" s="91"/>
      <c r="D222" s="92"/>
      <c r="E222" s="93" t="str">
        <f>IF($D222="","",TEXT($D222,"dddd"))</f>
        <v/>
      </c>
      <c r="F222" s="94"/>
      <c r="G222" s="93"/>
      <c r="H222" s="90"/>
    </row>
    <row r="223" spans="1:8" ht="30" customHeight="1">
      <c r="A223" s="89"/>
      <c r="B223" s="90"/>
      <c r="C223" s="91"/>
      <c r="D223" s="92"/>
      <c r="E223" s="93" t="str">
        <f>IF($D223="","",TEXT($D223,"dddd"))</f>
        <v/>
      </c>
      <c r="F223" s="94"/>
      <c r="G223" s="93"/>
      <c r="H223" s="90"/>
    </row>
    <row r="224" spans="1:8" ht="30" customHeight="1">
      <c r="A224" s="89"/>
      <c r="B224" s="90"/>
      <c r="C224" s="91"/>
      <c r="D224" s="92"/>
      <c r="E224" s="93" t="str">
        <f>IF($D224="","",TEXT($D224,"dddd"))</f>
        <v/>
      </c>
      <c r="F224" s="94"/>
      <c r="G224" s="93"/>
      <c r="H224" s="90"/>
    </row>
    <row r="225" spans="1:8" ht="30" customHeight="1">
      <c r="A225" s="89"/>
      <c r="B225" s="90"/>
      <c r="C225" s="91"/>
      <c r="D225" s="92"/>
      <c r="E225" s="93" t="str">
        <f>IF($D225="","",TEXT($D225,"dddd"))</f>
        <v/>
      </c>
      <c r="F225" s="94"/>
      <c r="G225" s="93"/>
      <c r="H225" s="90"/>
    </row>
    <row r="226" spans="1:8" ht="30" customHeight="1">
      <c r="A226" s="89"/>
      <c r="B226" s="90"/>
      <c r="C226" s="91"/>
      <c r="D226" s="92"/>
      <c r="E226" s="93" t="str">
        <f>IF($D226="","",TEXT($D226,"dddd"))</f>
        <v/>
      </c>
      <c r="F226" s="94"/>
      <c r="G226" s="93"/>
      <c r="H226" s="90"/>
    </row>
    <row r="227" spans="1:8" ht="30" customHeight="1">
      <c r="A227" s="89"/>
      <c r="B227" s="90"/>
      <c r="C227" s="91"/>
      <c r="D227" s="92"/>
      <c r="E227" s="93" t="str">
        <f>IF($D227="","",TEXT($D227,"dddd"))</f>
        <v/>
      </c>
      <c r="F227" s="94"/>
      <c r="G227" s="93"/>
      <c r="H227" s="90"/>
    </row>
    <row r="228" spans="1:8" ht="30" customHeight="1">
      <c r="A228" s="89"/>
      <c r="B228" s="90"/>
      <c r="C228" s="91"/>
      <c r="D228" s="92"/>
      <c r="E228" s="93" t="str">
        <f>IF($D228="","",TEXT($D228,"dddd"))</f>
        <v/>
      </c>
      <c r="F228" s="94"/>
      <c r="G228" s="93"/>
      <c r="H228" s="90"/>
    </row>
    <row r="229" spans="1:8" ht="30" customHeight="1">
      <c r="A229" s="89"/>
      <c r="B229" s="90"/>
      <c r="C229" s="91"/>
      <c r="D229" s="92"/>
      <c r="E229" s="93" t="str">
        <f>IF($D229="","",TEXT($D229,"dddd"))</f>
        <v/>
      </c>
      <c r="F229" s="94"/>
      <c r="G229" s="93"/>
      <c r="H229" s="90"/>
    </row>
    <row r="230" spans="1:8" ht="30" customHeight="1">
      <c r="A230" s="89"/>
      <c r="B230" s="90"/>
      <c r="C230" s="91"/>
      <c r="D230" s="92"/>
      <c r="E230" s="93" t="str">
        <f>IF($D230="","",TEXT($D230,"dddd"))</f>
        <v/>
      </c>
      <c r="F230" s="94"/>
      <c r="G230" s="93"/>
      <c r="H230" s="90"/>
    </row>
    <row r="231" spans="1:8" ht="30" customHeight="1">
      <c r="A231" s="89"/>
      <c r="B231" s="90"/>
      <c r="C231" s="91"/>
      <c r="D231" s="92"/>
      <c r="E231" s="93" t="str">
        <f>IF($D231="","",TEXT($D231,"dddd"))</f>
        <v/>
      </c>
      <c r="F231" s="94"/>
      <c r="G231" s="93"/>
      <c r="H231" s="90"/>
    </row>
    <row r="232" spans="1:8" ht="30" customHeight="1">
      <c r="A232" s="89"/>
      <c r="B232" s="90"/>
      <c r="C232" s="91"/>
      <c r="D232" s="92"/>
      <c r="E232" s="93" t="str">
        <f>IF($D232="","",TEXT($D232,"dddd"))</f>
        <v/>
      </c>
      <c r="F232" s="94"/>
      <c r="G232" s="93"/>
      <c r="H232" s="90"/>
    </row>
    <row r="233" spans="1:8" ht="30" customHeight="1">
      <c r="A233" s="89"/>
      <c r="B233" s="90"/>
      <c r="C233" s="91"/>
      <c r="D233" s="92"/>
      <c r="E233" s="93" t="str">
        <f>IF($D233="","",TEXT($D233,"dddd"))</f>
        <v/>
      </c>
      <c r="F233" s="94"/>
      <c r="G233" s="93"/>
      <c r="H233" s="90"/>
    </row>
    <row r="234" spans="1:8" ht="30" customHeight="1">
      <c r="A234" s="89"/>
      <c r="B234" s="90"/>
      <c r="C234" s="91"/>
      <c r="D234" s="92"/>
      <c r="E234" s="93" t="str">
        <f>IF($D234="","",TEXT($D234,"dddd"))</f>
        <v/>
      </c>
      <c r="F234" s="94"/>
      <c r="G234" s="93"/>
      <c r="H234" s="90"/>
    </row>
    <row r="235" spans="1:8" ht="30" customHeight="1">
      <c r="A235" s="89"/>
      <c r="B235" s="90"/>
      <c r="C235" s="91"/>
      <c r="D235" s="92"/>
      <c r="E235" s="93" t="str">
        <f>IF($D235="","",TEXT($D235,"dddd"))</f>
        <v/>
      </c>
      <c r="F235" s="94"/>
      <c r="G235" s="93"/>
      <c r="H235" s="90"/>
    </row>
    <row r="236" spans="1:8" ht="30" customHeight="1">
      <c r="A236" s="89"/>
      <c r="B236" s="90"/>
      <c r="C236" s="91"/>
      <c r="D236" s="92"/>
      <c r="E236" s="93" t="str">
        <f>IF($D236="","",TEXT($D236,"dddd"))</f>
        <v/>
      </c>
      <c r="F236" s="94"/>
      <c r="G236" s="93"/>
      <c r="H236" s="90"/>
    </row>
    <row r="237" spans="1:8" ht="30" customHeight="1">
      <c r="A237" s="89"/>
      <c r="B237" s="90"/>
      <c r="C237" s="91"/>
      <c r="D237" s="92"/>
      <c r="E237" s="93" t="str">
        <f>IF($D237="","",TEXT($D237,"dddd"))</f>
        <v/>
      </c>
      <c r="F237" s="94"/>
      <c r="G237" s="93"/>
      <c r="H237" s="90"/>
    </row>
    <row r="238" spans="1:8" ht="30" customHeight="1">
      <c r="A238" s="89"/>
      <c r="B238" s="90"/>
      <c r="C238" s="91"/>
      <c r="D238" s="92"/>
      <c r="E238" s="93" t="str">
        <f>IF($D238="","",TEXT($D238,"dddd"))</f>
        <v/>
      </c>
      <c r="F238" s="94"/>
      <c r="G238" s="93"/>
      <c r="H238" s="90"/>
    </row>
    <row r="239" spans="1:8" ht="30" customHeight="1">
      <c r="A239" s="89"/>
      <c r="B239" s="90"/>
      <c r="C239" s="91"/>
      <c r="D239" s="92"/>
      <c r="E239" s="93" t="str">
        <f>IF($D239="","",TEXT($D239,"dddd"))</f>
        <v/>
      </c>
      <c r="F239" s="94"/>
      <c r="G239" s="93"/>
      <c r="H239" s="90"/>
    </row>
    <row r="240" spans="1:8" ht="30" customHeight="1">
      <c r="A240" s="89"/>
      <c r="B240" s="90"/>
      <c r="C240" s="91"/>
      <c r="D240" s="92"/>
      <c r="E240" s="93" t="str">
        <f>IF($D240="","",TEXT($D240,"dddd"))</f>
        <v/>
      </c>
      <c r="F240" s="94"/>
      <c r="G240" s="93"/>
      <c r="H240" s="90"/>
    </row>
    <row r="241" spans="1:8" ht="30" customHeight="1">
      <c r="A241" s="89"/>
      <c r="B241" s="90"/>
      <c r="C241" s="91"/>
      <c r="D241" s="92"/>
      <c r="E241" s="93" t="str">
        <f>IF($D241="","",TEXT($D241,"dddd"))</f>
        <v/>
      </c>
      <c r="F241" s="94"/>
      <c r="G241" s="93"/>
      <c r="H241" s="90"/>
    </row>
    <row r="242" spans="1:8" ht="30" customHeight="1">
      <c r="A242" s="89"/>
      <c r="B242" s="90"/>
      <c r="C242" s="91"/>
      <c r="D242" s="92"/>
      <c r="E242" s="93" t="str">
        <f>IF($D242="","",TEXT($D242,"dddd"))</f>
        <v/>
      </c>
      <c r="F242" s="94"/>
      <c r="G242" s="93"/>
      <c r="H242" s="90"/>
    </row>
    <row r="243" spans="1:8" ht="30" customHeight="1">
      <c r="A243" s="89"/>
      <c r="B243" s="90"/>
      <c r="C243" s="91"/>
      <c r="D243" s="92"/>
      <c r="E243" s="93" t="str">
        <f>IF($D243="","",TEXT($D243,"dddd"))</f>
        <v/>
      </c>
      <c r="F243" s="94"/>
      <c r="G243" s="93"/>
      <c r="H243" s="90"/>
    </row>
    <row r="244" spans="1:8" ht="30" customHeight="1">
      <c r="A244" s="89"/>
      <c r="B244" s="90"/>
      <c r="C244" s="91"/>
      <c r="D244" s="92"/>
      <c r="E244" s="93" t="str">
        <f>IF($D244="","",TEXT($D244,"dddd"))</f>
        <v/>
      </c>
      <c r="F244" s="94"/>
      <c r="G244" s="93"/>
      <c r="H244" s="90"/>
    </row>
    <row r="245" spans="1:8" ht="30" customHeight="1">
      <c r="A245" s="89"/>
      <c r="B245" s="90"/>
      <c r="C245" s="91"/>
      <c r="D245" s="92"/>
      <c r="E245" s="93" t="str">
        <f>IF($D245="","",TEXT($D245,"dddd"))</f>
        <v/>
      </c>
      <c r="F245" s="94"/>
      <c r="G245" s="93"/>
      <c r="H245" s="90"/>
    </row>
    <row r="246" spans="1:8" ht="30" customHeight="1">
      <c r="A246" s="89"/>
      <c r="B246" s="90"/>
      <c r="C246" s="91"/>
      <c r="D246" s="92"/>
      <c r="E246" s="93" t="str">
        <f>IF($D246="","",TEXT($D246,"dddd"))</f>
        <v/>
      </c>
      <c r="F246" s="94"/>
      <c r="G246" s="93"/>
      <c r="H246" s="90"/>
    </row>
    <row r="247" spans="1:8" ht="30" customHeight="1">
      <c r="A247" s="89"/>
      <c r="B247" s="90"/>
      <c r="C247" s="91"/>
      <c r="D247" s="92"/>
      <c r="E247" s="93" t="str">
        <f>IF($D247="","",TEXT($D247,"dddd"))</f>
        <v/>
      </c>
      <c r="F247" s="94"/>
      <c r="G247" s="93"/>
      <c r="H247" s="90"/>
    </row>
    <row r="248" spans="1:8" ht="30" customHeight="1">
      <c r="A248" s="89"/>
      <c r="B248" s="90"/>
      <c r="C248" s="91"/>
      <c r="D248" s="92"/>
      <c r="E248" s="93" t="str">
        <f>IF($D248="","",TEXT($D248,"dddd"))</f>
        <v/>
      </c>
      <c r="F248" s="94"/>
      <c r="G248" s="93"/>
      <c r="H248" s="90"/>
    </row>
    <row r="249" spans="1:8" ht="30" customHeight="1">
      <c r="A249" s="89"/>
      <c r="B249" s="90"/>
      <c r="C249" s="91"/>
      <c r="D249" s="92"/>
      <c r="E249" s="93" t="str">
        <f>IF($D249="","",TEXT($D249,"dddd"))</f>
        <v/>
      </c>
      <c r="F249" s="94"/>
      <c r="G249" s="93"/>
      <c r="H249" s="90"/>
    </row>
    <row r="250" spans="1:8" ht="30" customHeight="1">
      <c r="A250" s="89"/>
      <c r="B250" s="90"/>
      <c r="C250" s="91"/>
      <c r="D250" s="92"/>
      <c r="E250" s="93" t="str">
        <f>IF($D250="","",TEXT($D250,"dddd"))</f>
        <v/>
      </c>
      <c r="F250" s="94"/>
      <c r="G250" s="93"/>
      <c r="H250" s="90"/>
    </row>
    <row r="251" spans="1:8" ht="30" customHeight="1">
      <c r="A251" s="89"/>
      <c r="B251" s="90"/>
      <c r="C251" s="91"/>
      <c r="D251" s="92"/>
      <c r="E251" s="93" t="str">
        <f>IF($D251="","",TEXT($D251,"dddd"))</f>
        <v/>
      </c>
      <c r="F251" s="94"/>
      <c r="G251" s="93"/>
      <c r="H251" s="90"/>
    </row>
    <row r="252" spans="1:8" ht="30" customHeight="1">
      <c r="A252" s="89"/>
      <c r="B252" s="90"/>
      <c r="C252" s="91"/>
      <c r="D252" s="92"/>
      <c r="E252" s="93" t="str">
        <f>IF($D252="","",TEXT($D252,"dddd"))</f>
        <v/>
      </c>
      <c r="F252" s="94"/>
      <c r="G252" s="93"/>
      <c r="H252" s="90"/>
    </row>
  </sheetData>
  <mergeCells count="1">
    <mergeCell ref="A1:H1"/>
  </mergeCells>
  <dataValidations count="4">
    <dataValidation type="list" allowBlank="1" sqref="A3:A252" xr:uid="{00000000-0002-0000-0600-000000000000}">
      <formula1>Lista_Proyectos</formula1>
      <formula2>0</formula2>
    </dataValidation>
    <dataValidation type="list" allowBlank="1" sqref="B3:B252" xr:uid="{00000000-0002-0000-0600-000001000000}">
      <formula1>Lista_Entregables_SE</formula1>
      <formula2>0</formula2>
    </dataValidation>
    <dataValidation type="list" allowBlank="1" sqref="C3:C252" xr:uid="{00000000-0002-0000-0600-000002000000}">
      <formula1>Lista_Colaboradores</formula1>
      <formula2>0</formula2>
    </dataValidation>
    <dataValidation type="list" allowBlank="1" sqref="G3:G252" xr:uid="{00000000-0002-0000-0600-000003000000}">
      <formula1>"No iniciada,En proceso,Pausada,Finalizada"</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4472C4"/>
  </sheetPr>
  <dimension ref="A1:H100"/>
  <sheetViews>
    <sheetView showGridLines="0" zoomScaleNormal="100" workbookViewId="0">
      <pane xSplit="1" ySplit="2" topLeftCell="B3" activePane="bottomRight" state="frozen"/>
      <selection pane="bottomRight" activeCell="C15" sqref="C15"/>
      <selection pane="bottomLeft" activeCell="A3" sqref="A3"/>
      <selection pane="topRight" activeCell="B1" sqref="B1"/>
    </sheetView>
  </sheetViews>
  <sheetFormatPr defaultColWidth="8.7109375" defaultRowHeight="15"/>
  <cols>
    <col min="1" max="1" width="32" customWidth="1"/>
    <col min="2" max="2" width="18" customWidth="1"/>
    <col min="3" max="3" width="30" customWidth="1"/>
    <col min="4" max="4" width="14" customWidth="1"/>
    <col min="5" max="7" width="16" customWidth="1"/>
    <col min="8" max="8" width="14" customWidth="1"/>
  </cols>
  <sheetData>
    <row r="1" spans="1:8" ht="21.75" customHeight="1">
      <c r="A1" s="156" t="s">
        <v>718</v>
      </c>
      <c r="B1" s="156"/>
      <c r="C1" s="156"/>
      <c r="D1" s="156"/>
      <c r="E1" s="156"/>
      <c r="F1" s="156"/>
      <c r="G1" s="156"/>
      <c r="H1" s="156"/>
    </row>
    <row r="2" spans="1:8" ht="30" customHeight="1">
      <c r="A2" s="95" t="s">
        <v>120</v>
      </c>
      <c r="B2" s="95" t="s">
        <v>719</v>
      </c>
      <c r="C2" s="95" t="s">
        <v>131</v>
      </c>
      <c r="D2" s="95" t="s">
        <v>720</v>
      </c>
      <c r="E2" s="95" t="s">
        <v>721</v>
      </c>
      <c r="F2" s="95" t="s">
        <v>722</v>
      </c>
      <c r="G2" s="95" t="s">
        <v>723</v>
      </c>
      <c r="H2" s="95" t="s">
        <v>724</v>
      </c>
    </row>
    <row r="3" spans="1:8" ht="15" customHeight="1">
      <c r="A3" s="96" t="s">
        <v>361</v>
      </c>
      <c r="B3" s="97" t="s">
        <v>725</v>
      </c>
      <c r="C3" s="97" t="s">
        <v>726</v>
      </c>
      <c r="D3" s="98">
        <v>0.71</v>
      </c>
      <c r="E3" s="99">
        <v>86360.82</v>
      </c>
      <c r="F3" s="99"/>
      <c r="G3" s="99">
        <f>IFERROR(E3-F3,0)</f>
        <v>86360.82</v>
      </c>
      <c r="H3" s="98">
        <f>IFERROR(F3/E3,0)</f>
        <v>0</v>
      </c>
    </row>
    <row r="4" spans="1:8" ht="15" customHeight="1">
      <c r="A4" s="96" t="s">
        <v>354</v>
      </c>
      <c r="B4" s="100" t="s">
        <v>725</v>
      </c>
      <c r="C4" s="100" t="s">
        <v>726</v>
      </c>
      <c r="D4" s="101">
        <v>0.99</v>
      </c>
      <c r="E4" s="102"/>
      <c r="F4" s="102"/>
      <c r="G4" s="102">
        <f>IFERROR(E4-F4,0)</f>
        <v>0</v>
      </c>
      <c r="H4" s="101">
        <f>IFERROR(F4/E4,0)</f>
        <v>0</v>
      </c>
    </row>
    <row r="5" spans="1:8" ht="15" customHeight="1">
      <c r="A5" s="103" t="s">
        <v>264</v>
      </c>
      <c r="B5" s="97" t="s">
        <v>725</v>
      </c>
      <c r="C5" s="97" t="s">
        <v>727</v>
      </c>
      <c r="D5" s="98">
        <v>0.39</v>
      </c>
      <c r="E5" s="99">
        <v>111520.5</v>
      </c>
      <c r="F5" s="99">
        <v>31395</v>
      </c>
      <c r="G5" s="99">
        <f>IFERROR(E5-F5,0)</f>
        <v>80125.5</v>
      </c>
      <c r="H5" s="98">
        <f>IFERROR(F5/E5,0)</f>
        <v>0.28151774785801714</v>
      </c>
    </row>
    <row r="6" spans="1:8" ht="15" customHeight="1">
      <c r="A6" s="96" t="s">
        <v>728</v>
      </c>
      <c r="B6" s="100" t="s">
        <v>729</v>
      </c>
      <c r="C6" s="100" t="s">
        <v>730</v>
      </c>
      <c r="D6" s="101">
        <v>0</v>
      </c>
      <c r="E6" s="102"/>
      <c r="F6" s="102"/>
      <c r="G6" s="102">
        <f>IFERROR(E6-F6,0)</f>
        <v>0</v>
      </c>
      <c r="H6" s="101">
        <f>IFERROR(F6/E6,0)</f>
        <v>0</v>
      </c>
    </row>
    <row r="7" spans="1:8" ht="15" customHeight="1">
      <c r="A7" s="103" t="s">
        <v>312</v>
      </c>
      <c r="B7" s="97" t="s">
        <v>729</v>
      </c>
      <c r="C7" s="97" t="s">
        <v>731</v>
      </c>
      <c r="D7" s="98">
        <v>0.18</v>
      </c>
      <c r="E7" s="99">
        <v>25116</v>
      </c>
      <c r="F7" s="99">
        <v>13786.5</v>
      </c>
      <c r="G7" s="99">
        <f>IFERROR(E7-F7,0)</f>
        <v>11329.5</v>
      </c>
      <c r="H7" s="98">
        <f>IFERROR(F7/E7,0)</f>
        <v>0.54891304347826086</v>
      </c>
    </row>
    <row r="8" spans="1:8" ht="15" customHeight="1">
      <c r="A8" s="103" t="s">
        <v>312</v>
      </c>
      <c r="B8" s="100" t="s">
        <v>729</v>
      </c>
      <c r="C8" s="100" t="s">
        <v>731</v>
      </c>
      <c r="D8" s="101">
        <v>0.18</v>
      </c>
      <c r="E8" s="102">
        <v>102142.95</v>
      </c>
      <c r="F8" s="102">
        <v>28710.5</v>
      </c>
      <c r="G8" s="102">
        <f>IFERROR(E8-F8,0)</f>
        <v>73432.45</v>
      </c>
      <c r="H8" s="101">
        <f>IFERROR(F8/E8,0)</f>
        <v>0.28108156265312489</v>
      </c>
    </row>
    <row r="9" spans="1:8" ht="15" customHeight="1">
      <c r="A9" s="103" t="s">
        <v>313</v>
      </c>
      <c r="B9" s="97" t="s">
        <v>729</v>
      </c>
      <c r="C9" s="97" t="s">
        <v>731</v>
      </c>
      <c r="D9" s="98">
        <v>0.18</v>
      </c>
      <c r="E9" s="99">
        <v>83942.95</v>
      </c>
      <c r="F9" s="99"/>
      <c r="G9" s="99">
        <f>IFERROR(E9-F9,0)</f>
        <v>83942.95</v>
      </c>
      <c r="H9" s="98">
        <f>IFERROR(F9/E9,0)</f>
        <v>0</v>
      </c>
    </row>
    <row r="10" spans="1:8" ht="15" customHeight="1">
      <c r="A10" s="103" t="s">
        <v>227</v>
      </c>
      <c r="B10" s="100" t="s">
        <v>725</v>
      </c>
      <c r="C10" s="100" t="s">
        <v>732</v>
      </c>
      <c r="D10" s="101">
        <v>0.77</v>
      </c>
      <c r="E10" s="102">
        <v>24888.5</v>
      </c>
      <c r="F10" s="102">
        <v>20202</v>
      </c>
      <c r="G10" s="102">
        <f>IFERROR(E10-F10,0)</f>
        <v>4686.5</v>
      </c>
      <c r="H10" s="101">
        <f>IFERROR(F10/E10,0)</f>
        <v>0.8117001828153565</v>
      </c>
    </row>
    <row r="11" spans="1:8" ht="15" customHeight="1">
      <c r="A11" s="103" t="s">
        <v>132</v>
      </c>
      <c r="B11" s="97" t="s">
        <v>725</v>
      </c>
      <c r="C11" s="97" t="s">
        <v>733</v>
      </c>
      <c r="D11" s="98">
        <v>0.9</v>
      </c>
      <c r="E11" s="99">
        <v>7186.73</v>
      </c>
      <c r="F11" s="99">
        <v>7186.73</v>
      </c>
      <c r="G11" s="99">
        <f>IFERROR(E11-F11,0)</f>
        <v>0</v>
      </c>
      <c r="H11" s="98">
        <f>IFERROR(F11/E11,0)</f>
        <v>1</v>
      </c>
    </row>
    <row r="12" spans="1:8" ht="15" customHeight="1">
      <c r="A12" s="96" t="s">
        <v>345</v>
      </c>
      <c r="B12" s="100" t="s">
        <v>725</v>
      </c>
      <c r="C12" s="100" t="s">
        <v>733</v>
      </c>
      <c r="D12" s="101">
        <v>0.99</v>
      </c>
      <c r="E12" s="102"/>
      <c r="F12" s="102"/>
      <c r="G12" s="102">
        <f>IFERROR(E12-F12,0)</f>
        <v>0</v>
      </c>
      <c r="H12" s="101">
        <f>IFERROR(F12/E12,0)</f>
        <v>0</v>
      </c>
    </row>
    <row r="13" spans="1:8" ht="15" customHeight="1">
      <c r="A13" s="103" t="s">
        <v>311</v>
      </c>
      <c r="B13" s="97" t="s">
        <v>725</v>
      </c>
      <c r="C13" s="97" t="s">
        <v>734</v>
      </c>
      <c r="D13" s="98">
        <v>0.06</v>
      </c>
      <c r="E13" s="99">
        <v>68732.3</v>
      </c>
      <c r="F13" s="99">
        <v>25116</v>
      </c>
      <c r="G13" s="99">
        <f>IFERROR(E13-F13,0)</f>
        <v>43616.3</v>
      </c>
      <c r="H13" s="98">
        <f>IFERROR(F13/E13,0)</f>
        <v>0.36541771481530516</v>
      </c>
    </row>
    <row r="14" spans="1:8" ht="25.5" customHeight="1">
      <c r="A14" s="96" t="s">
        <v>358</v>
      </c>
      <c r="B14" s="100" t="s">
        <v>725</v>
      </c>
      <c r="C14" s="100" t="s">
        <v>732</v>
      </c>
      <c r="D14" s="101">
        <v>0.17</v>
      </c>
      <c r="E14" s="102">
        <v>40151.019999999997</v>
      </c>
      <c r="F14" s="102">
        <v>9418.5</v>
      </c>
      <c r="G14" s="102">
        <f>IFERROR(E14-F14,0)</f>
        <v>30732.519999999997</v>
      </c>
      <c r="H14" s="101">
        <f>IFERROR(F14/E14,0)</f>
        <v>0.23457685508363177</v>
      </c>
    </row>
    <row r="15" spans="1:8" ht="15" customHeight="1">
      <c r="A15" s="103" t="s">
        <v>312</v>
      </c>
      <c r="B15" s="97" t="s">
        <v>735</v>
      </c>
      <c r="C15" s="97" t="s">
        <v>735</v>
      </c>
      <c r="D15" s="98">
        <v>0.18</v>
      </c>
      <c r="E15" s="99">
        <v>3867.5</v>
      </c>
      <c r="F15" s="99">
        <v>3867.5</v>
      </c>
      <c r="G15" s="99">
        <f>IFERROR(E15-F15,0)</f>
        <v>0</v>
      </c>
      <c r="H15" s="98">
        <f>IFERROR(F15/E15,0)</f>
        <v>1</v>
      </c>
    </row>
    <row r="16" spans="1:8" ht="15" customHeight="1">
      <c r="A16" s="103" t="s">
        <v>313</v>
      </c>
      <c r="B16" s="100" t="s">
        <v>729</v>
      </c>
      <c r="C16" s="100" t="s">
        <v>731</v>
      </c>
      <c r="D16" s="101">
        <v>0.18</v>
      </c>
      <c r="E16" s="102">
        <v>11893.7</v>
      </c>
      <c r="F16" s="102"/>
      <c r="G16" s="102">
        <f>IFERROR(E16-F16,0)</f>
        <v>11893.7</v>
      </c>
      <c r="H16" s="101">
        <f>IFERROR(F16/E16,0)</f>
        <v>0</v>
      </c>
    </row>
    <row r="17" spans="1:8" ht="15" customHeight="1">
      <c r="A17" s="103" t="s">
        <v>736</v>
      </c>
      <c r="B17" s="97" t="s">
        <v>735</v>
      </c>
      <c r="C17" s="97" t="s">
        <v>735</v>
      </c>
      <c r="D17" s="98">
        <v>1</v>
      </c>
      <c r="E17" s="99">
        <v>3276</v>
      </c>
      <c r="F17" s="99">
        <v>3276</v>
      </c>
      <c r="G17" s="99">
        <f>IFERROR(E17-F17,0)</f>
        <v>0</v>
      </c>
      <c r="H17" s="98">
        <f>IFERROR(F17/E17,0)</f>
        <v>1</v>
      </c>
    </row>
    <row r="18" spans="1:8" ht="15" customHeight="1">
      <c r="A18" s="103" t="s">
        <v>264</v>
      </c>
      <c r="B18" s="100" t="s">
        <v>735</v>
      </c>
      <c r="C18" s="100" t="s">
        <v>735</v>
      </c>
      <c r="D18" s="101">
        <v>0.39</v>
      </c>
      <c r="E18" s="102">
        <v>17166.240000000002</v>
      </c>
      <c r="F18" s="102">
        <v>17166.240000000002</v>
      </c>
      <c r="G18" s="102">
        <f>IFERROR(E18-F18,0)</f>
        <v>0</v>
      </c>
      <c r="H18" s="101">
        <f>IFERROR(F18/E18,0)</f>
        <v>1</v>
      </c>
    </row>
    <row r="19" spans="1:8" ht="15" customHeight="1">
      <c r="A19" s="103" t="s">
        <v>339</v>
      </c>
      <c r="B19" s="97" t="s">
        <v>735</v>
      </c>
      <c r="C19" s="97" t="s">
        <v>735</v>
      </c>
      <c r="D19" s="98">
        <v>0.16</v>
      </c>
      <c r="E19" s="99"/>
      <c r="F19" s="99"/>
      <c r="G19" s="99">
        <f>IFERROR(E19-F19,0)</f>
        <v>0</v>
      </c>
      <c r="H19" s="98">
        <f>IFERROR(F19/E19,0)</f>
        <v>0</v>
      </c>
    </row>
    <row r="20" spans="1:8" ht="15" customHeight="1">
      <c r="A20" s="103" t="s">
        <v>227</v>
      </c>
      <c r="B20" s="100" t="s">
        <v>735</v>
      </c>
      <c r="C20" s="100" t="s">
        <v>726</v>
      </c>
      <c r="D20" s="101">
        <v>0.77</v>
      </c>
      <c r="E20" s="102">
        <v>3230.5</v>
      </c>
      <c r="F20" s="102">
        <v>3230.5</v>
      </c>
      <c r="G20" s="102">
        <f>IFERROR(E20-F20,0)</f>
        <v>0</v>
      </c>
      <c r="H20" s="101">
        <f>IFERROR(F20/E20,0)</f>
        <v>1</v>
      </c>
    </row>
    <row r="21" spans="1:8" ht="15" customHeight="1">
      <c r="A21" s="103" t="s">
        <v>313</v>
      </c>
      <c r="B21" s="97" t="s">
        <v>735</v>
      </c>
      <c r="C21" s="97" t="s">
        <v>735</v>
      </c>
      <c r="D21" s="98">
        <v>0.18</v>
      </c>
      <c r="E21" s="99">
        <v>18473</v>
      </c>
      <c r="F21" s="99">
        <v>18473</v>
      </c>
      <c r="G21" s="99">
        <f>IFERROR(E21-F21,0)</f>
        <v>0</v>
      </c>
      <c r="H21" s="98">
        <f>IFERROR(F21/E21,0)</f>
        <v>1</v>
      </c>
    </row>
    <row r="22" spans="1:8" ht="15" customHeight="1">
      <c r="A22" s="103" t="s">
        <v>313</v>
      </c>
      <c r="B22" s="100" t="s">
        <v>735</v>
      </c>
      <c r="C22" s="100" t="s">
        <v>735</v>
      </c>
      <c r="D22" s="101">
        <v>0.18</v>
      </c>
      <c r="E22" s="102">
        <v>8763.2999999999993</v>
      </c>
      <c r="F22" s="102">
        <v>8763.2999999999993</v>
      </c>
      <c r="G22" s="102">
        <f>IFERROR(E22-F22,0)</f>
        <v>0</v>
      </c>
      <c r="H22" s="101">
        <f>IFERROR(F22/E22,0)</f>
        <v>1</v>
      </c>
    </row>
    <row r="23" spans="1:8" ht="15" customHeight="1">
      <c r="A23" s="103" t="s">
        <v>311</v>
      </c>
      <c r="B23" s="97" t="s">
        <v>725</v>
      </c>
      <c r="C23" s="97" t="s">
        <v>735</v>
      </c>
      <c r="D23" s="98">
        <v>0.06</v>
      </c>
      <c r="E23" s="99">
        <v>4281.55</v>
      </c>
      <c r="F23" s="99">
        <v>3435.94</v>
      </c>
      <c r="G23" s="99">
        <f>IFERROR(E23-F23,0)</f>
        <v>845.61000000000013</v>
      </c>
      <c r="H23" s="98">
        <f>IFERROR(F23/E23,0)</f>
        <v>0.80249909495393024</v>
      </c>
    </row>
    <row r="24" spans="1:8" ht="15" customHeight="1">
      <c r="A24" s="103" t="s">
        <v>311</v>
      </c>
      <c r="B24" s="100" t="s">
        <v>735</v>
      </c>
      <c r="C24" s="100" t="s">
        <v>735</v>
      </c>
      <c r="D24" s="101">
        <v>0.06</v>
      </c>
      <c r="E24" s="102">
        <v>3139.5</v>
      </c>
      <c r="F24" s="102">
        <v>3139.5</v>
      </c>
      <c r="G24" s="102">
        <f>IFERROR(E24-F24,0)</f>
        <v>0</v>
      </c>
      <c r="H24" s="101">
        <f>IFERROR(F24/E24,0)</f>
        <v>1</v>
      </c>
    </row>
    <row r="25" spans="1:8" ht="15" customHeight="1">
      <c r="A25" s="104" t="s">
        <v>350</v>
      </c>
      <c r="B25" s="104" t="s">
        <v>729</v>
      </c>
      <c r="C25" s="104"/>
      <c r="D25" s="104"/>
      <c r="E25" s="104"/>
      <c r="F25" s="104"/>
      <c r="G25" s="104">
        <f>E25-F25</f>
        <v>0</v>
      </c>
      <c r="H25" s="104">
        <f>IFERROR(F25/E25,0)</f>
        <v>0</v>
      </c>
    </row>
    <row r="26" spans="1:8" ht="15" customHeight="1">
      <c r="A26" s="104" t="s">
        <v>371</v>
      </c>
      <c r="B26" s="104"/>
      <c r="C26" s="104"/>
      <c r="D26" s="104"/>
      <c r="E26" s="104"/>
      <c r="F26" s="104"/>
      <c r="G26" s="104">
        <f>E26-F26</f>
        <v>0</v>
      </c>
      <c r="H26" s="104">
        <f>IFERROR(F26/E26,0)</f>
        <v>0</v>
      </c>
    </row>
    <row r="27" spans="1:8" ht="15" customHeight="1">
      <c r="A27" s="97"/>
      <c r="B27" s="97"/>
      <c r="C27" s="97"/>
      <c r="D27" s="97"/>
      <c r="E27" s="97"/>
      <c r="F27" s="97"/>
      <c r="G27" s="97"/>
      <c r="H27" s="97"/>
    </row>
    <row r="28" spans="1:8" ht="15" customHeight="1">
      <c r="A28" s="100"/>
      <c r="B28" s="100"/>
      <c r="C28" s="100"/>
      <c r="D28" s="100"/>
      <c r="E28" s="100"/>
      <c r="F28" s="100"/>
      <c r="G28" s="100"/>
      <c r="H28" s="100"/>
    </row>
    <row r="29" spans="1:8" ht="15" customHeight="1">
      <c r="A29" s="97"/>
      <c r="B29" s="97"/>
      <c r="C29" s="97"/>
      <c r="D29" s="97"/>
      <c r="E29" s="97"/>
      <c r="F29" s="97"/>
      <c r="G29" s="97"/>
      <c r="H29" s="97"/>
    </row>
    <row r="30" spans="1:8" ht="15" customHeight="1">
      <c r="A30" s="100"/>
      <c r="B30" s="100"/>
      <c r="C30" s="100"/>
      <c r="D30" s="100"/>
      <c r="E30" s="100"/>
      <c r="F30" s="100"/>
      <c r="G30" s="100"/>
      <c r="H30" s="100"/>
    </row>
    <row r="31" spans="1:8" ht="15" customHeight="1">
      <c r="A31" s="97"/>
      <c r="B31" s="97"/>
      <c r="C31" s="97"/>
      <c r="D31" s="97"/>
      <c r="E31" s="97"/>
      <c r="F31" s="97"/>
      <c r="G31" s="97"/>
      <c r="H31" s="97"/>
    </row>
    <row r="32" spans="1:8" ht="15" customHeight="1">
      <c r="A32" s="100"/>
      <c r="B32" s="100"/>
      <c r="C32" s="100"/>
      <c r="D32" s="100"/>
      <c r="E32" s="100"/>
      <c r="F32" s="100"/>
      <c r="G32" s="100"/>
      <c r="H32" s="100"/>
    </row>
    <row r="33" spans="1:8" ht="15" customHeight="1">
      <c r="A33" s="97"/>
      <c r="B33" s="97"/>
      <c r="C33" s="97"/>
      <c r="D33" s="97"/>
      <c r="E33" s="97"/>
      <c r="F33" s="97"/>
      <c r="G33" s="97"/>
      <c r="H33" s="97"/>
    </row>
    <row r="34" spans="1:8" ht="15" customHeight="1">
      <c r="A34" s="100"/>
      <c r="B34" s="100"/>
      <c r="C34" s="100"/>
      <c r="D34" s="100"/>
      <c r="E34" s="100"/>
      <c r="F34" s="100"/>
      <c r="G34" s="100"/>
      <c r="H34" s="100"/>
    </row>
    <row r="35" spans="1:8" ht="15" customHeight="1">
      <c r="A35" s="97"/>
      <c r="B35" s="97"/>
      <c r="C35" s="97"/>
      <c r="D35" s="97"/>
      <c r="E35" s="97"/>
      <c r="F35" s="97"/>
      <c r="G35" s="97"/>
      <c r="H35" s="97"/>
    </row>
    <row r="36" spans="1:8" ht="15" customHeight="1">
      <c r="A36" s="100"/>
      <c r="B36" s="100"/>
      <c r="C36" s="100"/>
      <c r="D36" s="100"/>
      <c r="E36" s="100"/>
      <c r="F36" s="100"/>
      <c r="G36" s="100"/>
      <c r="H36" s="100"/>
    </row>
    <row r="37" spans="1:8" ht="15" customHeight="1">
      <c r="A37" s="97"/>
      <c r="B37" s="97"/>
      <c r="C37" s="97"/>
      <c r="D37" s="97"/>
      <c r="E37" s="97"/>
      <c r="F37" s="97"/>
      <c r="G37" s="97"/>
      <c r="H37" s="97"/>
    </row>
    <row r="38" spans="1:8" ht="15" customHeight="1">
      <c r="A38" s="100"/>
      <c r="B38" s="100"/>
      <c r="C38" s="100"/>
      <c r="D38" s="100"/>
      <c r="E38" s="100"/>
      <c r="F38" s="100"/>
      <c r="G38" s="100"/>
      <c r="H38" s="100"/>
    </row>
    <row r="39" spans="1:8" ht="15" customHeight="1">
      <c r="A39" s="97"/>
      <c r="B39" s="97"/>
      <c r="C39" s="97"/>
      <c r="D39" s="97"/>
      <c r="E39" s="97"/>
      <c r="F39" s="97"/>
      <c r="G39" s="97"/>
      <c r="H39" s="97"/>
    </row>
    <row r="40" spans="1:8" ht="15" customHeight="1">
      <c r="A40" s="100"/>
      <c r="B40" s="100"/>
      <c r="C40" s="100"/>
      <c r="D40" s="100"/>
      <c r="E40" s="100"/>
      <c r="F40" s="100"/>
      <c r="G40" s="100"/>
      <c r="H40" s="100"/>
    </row>
    <row r="41" spans="1:8" ht="15" customHeight="1">
      <c r="A41" s="97"/>
      <c r="B41" s="97"/>
      <c r="C41" s="97"/>
      <c r="D41" s="97"/>
      <c r="E41" s="97"/>
      <c r="F41" s="97"/>
      <c r="G41" s="97"/>
      <c r="H41" s="97"/>
    </row>
    <row r="42" spans="1:8" ht="15" customHeight="1">
      <c r="A42" s="100"/>
      <c r="B42" s="100"/>
      <c r="C42" s="100"/>
      <c r="D42" s="100"/>
      <c r="E42" s="100"/>
      <c r="F42" s="100"/>
      <c r="G42" s="100"/>
      <c r="H42" s="100"/>
    </row>
    <row r="43" spans="1:8" ht="15" customHeight="1">
      <c r="A43" s="97"/>
      <c r="B43" s="97"/>
      <c r="C43" s="97"/>
      <c r="D43" s="97"/>
      <c r="E43" s="97"/>
      <c r="F43" s="97"/>
      <c r="G43" s="97"/>
      <c r="H43" s="97"/>
    </row>
    <row r="44" spans="1:8" ht="15" customHeight="1">
      <c r="A44" s="100"/>
      <c r="B44" s="100"/>
      <c r="C44" s="100"/>
      <c r="D44" s="100"/>
      <c r="E44" s="100"/>
      <c r="F44" s="100"/>
      <c r="G44" s="100"/>
      <c r="H44" s="100"/>
    </row>
    <row r="45" spans="1:8" ht="15" customHeight="1">
      <c r="A45" s="97"/>
      <c r="B45" s="97"/>
      <c r="C45" s="97"/>
      <c r="D45" s="97"/>
      <c r="E45" s="97"/>
      <c r="F45" s="97"/>
      <c r="G45" s="97"/>
      <c r="H45" s="97"/>
    </row>
    <row r="46" spans="1:8" ht="15" customHeight="1">
      <c r="A46" s="100"/>
      <c r="B46" s="100"/>
      <c r="C46" s="100"/>
      <c r="D46" s="100"/>
      <c r="E46" s="100"/>
      <c r="F46" s="100"/>
      <c r="G46" s="100"/>
      <c r="H46" s="100"/>
    </row>
    <row r="47" spans="1:8" ht="15" customHeight="1">
      <c r="A47" s="97"/>
      <c r="B47" s="97"/>
      <c r="C47" s="97"/>
      <c r="D47" s="97"/>
      <c r="E47" s="97"/>
      <c r="F47" s="97"/>
      <c r="G47" s="97"/>
      <c r="H47" s="97"/>
    </row>
    <row r="48" spans="1:8" ht="15" customHeight="1">
      <c r="A48" s="100"/>
      <c r="B48" s="100"/>
      <c r="C48" s="100"/>
      <c r="D48" s="100"/>
      <c r="E48" s="100"/>
      <c r="F48" s="100"/>
      <c r="G48" s="100"/>
      <c r="H48" s="100"/>
    </row>
    <row r="49" spans="1:8" ht="15" customHeight="1">
      <c r="A49" s="97"/>
      <c r="B49" s="97"/>
      <c r="C49" s="97"/>
      <c r="D49" s="97"/>
      <c r="E49" s="97"/>
      <c r="F49" s="97"/>
      <c r="G49" s="97"/>
      <c r="H49" s="97"/>
    </row>
    <row r="50" spans="1:8" ht="15" customHeight="1">
      <c r="A50" s="100"/>
      <c r="B50" s="100"/>
      <c r="C50" s="100"/>
      <c r="D50" s="100"/>
      <c r="E50" s="100"/>
      <c r="F50" s="100"/>
      <c r="G50" s="100"/>
      <c r="H50" s="100"/>
    </row>
    <row r="51" spans="1:8" ht="15" customHeight="1">
      <c r="A51" s="97"/>
      <c r="B51" s="97"/>
      <c r="C51" s="97"/>
      <c r="D51" s="97"/>
      <c r="E51" s="97"/>
      <c r="F51" s="97"/>
      <c r="G51" s="97"/>
      <c r="H51" s="97"/>
    </row>
    <row r="52" spans="1:8" ht="15" customHeight="1">
      <c r="A52" s="100"/>
      <c r="B52" s="100"/>
      <c r="C52" s="100"/>
      <c r="D52" s="100"/>
      <c r="E52" s="100"/>
      <c r="F52" s="100"/>
      <c r="G52" s="100"/>
      <c r="H52" s="100"/>
    </row>
    <row r="53" spans="1:8" ht="15" customHeight="1">
      <c r="A53" s="97"/>
      <c r="B53" s="97"/>
      <c r="C53" s="97"/>
      <c r="D53" s="97"/>
      <c r="E53" s="97"/>
      <c r="F53" s="97"/>
      <c r="G53" s="97"/>
      <c r="H53" s="97"/>
    </row>
    <row r="54" spans="1:8" ht="15" customHeight="1">
      <c r="A54" s="100"/>
      <c r="B54" s="100"/>
      <c r="C54" s="100"/>
      <c r="D54" s="100"/>
      <c r="E54" s="100"/>
      <c r="F54" s="100"/>
      <c r="G54" s="100"/>
      <c r="H54" s="100"/>
    </row>
    <row r="55" spans="1:8" ht="15" customHeight="1">
      <c r="A55" s="97"/>
      <c r="B55" s="97"/>
      <c r="C55" s="97"/>
      <c r="D55" s="97"/>
      <c r="E55" s="97"/>
      <c r="F55" s="97"/>
      <c r="G55" s="97"/>
      <c r="H55" s="97"/>
    </row>
    <row r="56" spans="1:8" ht="15" customHeight="1">
      <c r="A56" s="100"/>
      <c r="B56" s="100"/>
      <c r="C56" s="100"/>
      <c r="D56" s="100"/>
      <c r="E56" s="100"/>
      <c r="F56" s="100"/>
      <c r="G56" s="100"/>
      <c r="H56" s="100"/>
    </row>
    <row r="57" spans="1:8" ht="15" customHeight="1">
      <c r="A57" s="97"/>
      <c r="B57" s="97"/>
      <c r="C57" s="97"/>
      <c r="D57" s="97"/>
      <c r="E57" s="97"/>
      <c r="F57" s="97"/>
      <c r="G57" s="97"/>
      <c r="H57" s="97"/>
    </row>
    <row r="58" spans="1:8" ht="15" customHeight="1">
      <c r="A58" s="100"/>
      <c r="B58" s="100"/>
      <c r="C58" s="100"/>
      <c r="D58" s="100"/>
      <c r="E58" s="100"/>
      <c r="F58" s="100"/>
      <c r="G58" s="100"/>
      <c r="H58" s="100"/>
    </row>
    <row r="59" spans="1:8" ht="15" customHeight="1">
      <c r="A59" s="97"/>
      <c r="B59" s="97"/>
      <c r="C59" s="97"/>
      <c r="D59" s="97"/>
      <c r="E59" s="97"/>
      <c r="F59" s="97"/>
      <c r="G59" s="97"/>
      <c r="H59" s="97"/>
    </row>
    <row r="60" spans="1:8" ht="15" customHeight="1">
      <c r="A60" s="100"/>
      <c r="B60" s="100"/>
      <c r="C60" s="100"/>
      <c r="D60" s="100"/>
      <c r="E60" s="100"/>
      <c r="F60" s="100"/>
      <c r="G60" s="100"/>
      <c r="H60" s="100"/>
    </row>
    <row r="61" spans="1:8" ht="15" customHeight="1">
      <c r="A61" s="97"/>
      <c r="B61" s="97"/>
      <c r="C61" s="97"/>
      <c r="D61" s="97"/>
      <c r="E61" s="97"/>
      <c r="F61" s="97"/>
      <c r="G61" s="97"/>
      <c r="H61" s="97"/>
    </row>
    <row r="62" spans="1:8" ht="15" customHeight="1">
      <c r="A62" s="100"/>
      <c r="B62" s="100"/>
      <c r="C62" s="100"/>
      <c r="D62" s="100"/>
      <c r="E62" s="100"/>
      <c r="F62" s="100"/>
      <c r="G62" s="100"/>
      <c r="H62" s="100"/>
    </row>
    <row r="63" spans="1:8" ht="15" customHeight="1">
      <c r="A63" s="97"/>
      <c r="B63" s="97"/>
      <c r="C63" s="97"/>
      <c r="D63" s="97"/>
      <c r="E63" s="97"/>
      <c r="F63" s="97"/>
      <c r="G63" s="97"/>
      <c r="H63" s="97"/>
    </row>
    <row r="64" spans="1:8" ht="15" customHeight="1">
      <c r="A64" s="100"/>
      <c r="B64" s="100"/>
      <c r="C64" s="100"/>
      <c r="D64" s="100"/>
      <c r="E64" s="100"/>
      <c r="F64" s="100"/>
      <c r="G64" s="100"/>
      <c r="H64" s="100"/>
    </row>
    <row r="65" spans="1:8" ht="15" customHeight="1">
      <c r="A65" s="97"/>
      <c r="B65" s="97"/>
      <c r="C65" s="97"/>
      <c r="D65" s="97"/>
      <c r="E65" s="97"/>
      <c r="F65" s="97"/>
      <c r="G65" s="97"/>
      <c r="H65" s="97"/>
    </row>
    <row r="66" spans="1:8" ht="15" customHeight="1">
      <c r="A66" s="100"/>
      <c r="B66" s="100"/>
      <c r="C66" s="100"/>
      <c r="D66" s="100"/>
      <c r="E66" s="100"/>
      <c r="F66" s="100"/>
      <c r="G66" s="100"/>
      <c r="H66" s="100"/>
    </row>
    <row r="67" spans="1:8" ht="15" customHeight="1">
      <c r="A67" s="97"/>
      <c r="B67" s="97"/>
      <c r="C67" s="97"/>
      <c r="D67" s="97"/>
      <c r="E67" s="97"/>
      <c r="F67" s="97"/>
      <c r="G67" s="97"/>
      <c r="H67" s="97"/>
    </row>
    <row r="68" spans="1:8" ht="15" customHeight="1">
      <c r="A68" s="100"/>
      <c r="B68" s="100"/>
      <c r="C68" s="100"/>
      <c r="D68" s="100"/>
      <c r="E68" s="100"/>
      <c r="F68" s="100"/>
      <c r="G68" s="100"/>
      <c r="H68" s="100"/>
    </row>
    <row r="69" spans="1:8" ht="15" customHeight="1">
      <c r="A69" s="97"/>
      <c r="B69" s="97"/>
      <c r="C69" s="97"/>
      <c r="D69" s="97"/>
      <c r="E69" s="97"/>
      <c r="F69" s="97"/>
      <c r="G69" s="97"/>
      <c r="H69" s="97"/>
    </row>
    <row r="70" spans="1:8" ht="15" customHeight="1">
      <c r="A70" s="100"/>
      <c r="B70" s="100"/>
      <c r="C70" s="100"/>
      <c r="D70" s="100"/>
      <c r="E70" s="100"/>
      <c r="F70" s="100"/>
      <c r="G70" s="100"/>
      <c r="H70" s="100"/>
    </row>
    <row r="71" spans="1:8" ht="15" customHeight="1">
      <c r="A71" s="97"/>
      <c r="B71" s="97"/>
      <c r="C71" s="97"/>
      <c r="D71" s="97"/>
      <c r="E71" s="97"/>
      <c r="F71" s="97"/>
      <c r="G71" s="97"/>
      <c r="H71" s="97"/>
    </row>
    <row r="72" spans="1:8" ht="15" customHeight="1">
      <c r="A72" s="100"/>
      <c r="B72" s="100"/>
      <c r="C72" s="100"/>
      <c r="D72" s="100"/>
      <c r="E72" s="100"/>
      <c r="F72" s="100"/>
      <c r="G72" s="100"/>
      <c r="H72" s="100"/>
    </row>
    <row r="73" spans="1:8" ht="15" customHeight="1">
      <c r="A73" s="97"/>
      <c r="B73" s="97"/>
      <c r="C73" s="97"/>
      <c r="D73" s="97"/>
      <c r="E73" s="97"/>
      <c r="F73" s="97"/>
      <c r="G73" s="97"/>
      <c r="H73" s="97"/>
    </row>
    <row r="74" spans="1:8" ht="15" customHeight="1">
      <c r="A74" s="100"/>
      <c r="B74" s="100"/>
      <c r="C74" s="100"/>
      <c r="D74" s="100"/>
      <c r="E74" s="100"/>
      <c r="F74" s="100"/>
      <c r="G74" s="100"/>
      <c r="H74" s="100"/>
    </row>
    <row r="75" spans="1:8" ht="15" customHeight="1">
      <c r="A75" s="97"/>
      <c r="B75" s="97"/>
      <c r="C75" s="97"/>
      <c r="D75" s="97"/>
      <c r="E75" s="97"/>
      <c r="F75" s="97"/>
      <c r="G75" s="97"/>
      <c r="H75" s="97"/>
    </row>
    <row r="76" spans="1:8" ht="15" customHeight="1">
      <c r="A76" s="100"/>
      <c r="B76" s="100"/>
      <c r="C76" s="100"/>
      <c r="D76" s="100"/>
      <c r="E76" s="100"/>
      <c r="F76" s="100"/>
      <c r="G76" s="100"/>
      <c r="H76" s="100"/>
    </row>
    <row r="77" spans="1:8" ht="15" customHeight="1">
      <c r="A77" s="97"/>
      <c r="B77" s="97"/>
      <c r="C77" s="97"/>
      <c r="D77" s="97"/>
      <c r="E77" s="97"/>
      <c r="F77" s="97"/>
      <c r="G77" s="97"/>
      <c r="H77" s="97"/>
    </row>
    <row r="78" spans="1:8" ht="15" customHeight="1">
      <c r="A78" s="100"/>
      <c r="B78" s="100"/>
      <c r="C78" s="100"/>
      <c r="D78" s="100"/>
      <c r="E78" s="100"/>
      <c r="F78" s="100"/>
      <c r="G78" s="100"/>
      <c r="H78" s="100"/>
    </row>
    <row r="79" spans="1:8" ht="15" customHeight="1">
      <c r="A79" s="97"/>
      <c r="B79" s="97"/>
      <c r="C79" s="97"/>
      <c r="D79" s="97"/>
      <c r="E79" s="97"/>
      <c r="F79" s="97"/>
      <c r="G79" s="97"/>
      <c r="H79" s="97"/>
    </row>
    <row r="80" spans="1:8" ht="15" customHeight="1">
      <c r="A80" s="100"/>
      <c r="B80" s="100"/>
      <c r="C80" s="100"/>
      <c r="D80" s="100"/>
      <c r="E80" s="100"/>
      <c r="F80" s="100"/>
      <c r="G80" s="100"/>
      <c r="H80" s="100"/>
    </row>
    <row r="81" spans="1:8" ht="15" customHeight="1">
      <c r="A81" s="97"/>
      <c r="B81" s="97"/>
      <c r="C81" s="97"/>
      <c r="D81" s="97"/>
      <c r="E81" s="97"/>
      <c r="F81" s="97"/>
      <c r="G81" s="97"/>
      <c r="H81" s="97"/>
    </row>
    <row r="82" spans="1:8" ht="15" customHeight="1">
      <c r="A82" s="100"/>
      <c r="B82" s="100"/>
      <c r="C82" s="100"/>
      <c r="D82" s="100"/>
      <c r="E82" s="100"/>
      <c r="F82" s="100"/>
      <c r="G82" s="100"/>
      <c r="H82" s="100"/>
    </row>
    <row r="83" spans="1:8" ht="15" customHeight="1">
      <c r="A83" s="97"/>
      <c r="B83" s="97"/>
      <c r="C83" s="97"/>
      <c r="D83" s="97"/>
      <c r="E83" s="97"/>
      <c r="F83" s="97"/>
      <c r="G83" s="97"/>
      <c r="H83" s="97"/>
    </row>
    <row r="84" spans="1:8" ht="15" customHeight="1">
      <c r="A84" s="100"/>
      <c r="B84" s="100"/>
      <c r="C84" s="100"/>
      <c r="D84" s="100"/>
      <c r="E84" s="100"/>
      <c r="F84" s="100"/>
      <c r="G84" s="100"/>
      <c r="H84" s="100"/>
    </row>
    <row r="85" spans="1:8" ht="15" customHeight="1">
      <c r="A85" s="97"/>
      <c r="B85" s="97"/>
      <c r="C85" s="97"/>
      <c r="D85" s="97"/>
      <c r="E85" s="97"/>
      <c r="F85" s="97"/>
      <c r="G85" s="97"/>
      <c r="H85" s="97"/>
    </row>
    <row r="86" spans="1:8" ht="15" customHeight="1">
      <c r="A86" s="100"/>
      <c r="B86" s="100"/>
      <c r="C86" s="100"/>
      <c r="D86" s="100"/>
      <c r="E86" s="100"/>
      <c r="F86" s="100"/>
      <c r="G86" s="100"/>
      <c r="H86" s="100"/>
    </row>
    <row r="87" spans="1:8" ht="15" customHeight="1">
      <c r="A87" s="97"/>
      <c r="B87" s="97"/>
      <c r="C87" s="97"/>
      <c r="D87" s="97"/>
      <c r="E87" s="97"/>
      <c r="F87" s="97"/>
      <c r="G87" s="97"/>
      <c r="H87" s="97"/>
    </row>
    <row r="88" spans="1:8" ht="15" customHeight="1">
      <c r="A88" s="100"/>
      <c r="B88" s="100"/>
      <c r="C88" s="100"/>
      <c r="D88" s="100"/>
      <c r="E88" s="100"/>
      <c r="F88" s="100"/>
      <c r="G88" s="100"/>
      <c r="H88" s="100"/>
    </row>
    <row r="89" spans="1:8" ht="15" customHeight="1">
      <c r="A89" s="97"/>
      <c r="B89" s="97"/>
      <c r="C89" s="97"/>
      <c r="D89" s="97"/>
      <c r="E89" s="97"/>
      <c r="F89" s="97"/>
      <c r="G89" s="97"/>
      <c r="H89" s="97"/>
    </row>
    <row r="90" spans="1:8" ht="15" customHeight="1">
      <c r="A90" s="100"/>
      <c r="B90" s="100"/>
      <c r="C90" s="100"/>
      <c r="D90" s="100"/>
      <c r="E90" s="100"/>
      <c r="F90" s="100"/>
      <c r="G90" s="100"/>
      <c r="H90" s="100"/>
    </row>
    <row r="91" spans="1:8" ht="15" customHeight="1">
      <c r="A91" s="97"/>
      <c r="B91" s="97"/>
      <c r="C91" s="97"/>
      <c r="D91" s="97"/>
      <c r="E91" s="97"/>
      <c r="F91" s="97"/>
      <c r="G91" s="97"/>
      <c r="H91" s="97"/>
    </row>
    <row r="92" spans="1:8" ht="15" customHeight="1">
      <c r="A92" s="100"/>
      <c r="B92" s="100"/>
      <c r="C92" s="100"/>
      <c r="D92" s="100"/>
      <c r="E92" s="100"/>
      <c r="F92" s="100"/>
      <c r="G92" s="100"/>
      <c r="H92" s="100"/>
    </row>
    <row r="93" spans="1:8" ht="15" customHeight="1">
      <c r="A93" s="97"/>
      <c r="B93" s="97"/>
      <c r="C93" s="97"/>
      <c r="D93" s="97"/>
      <c r="E93" s="97"/>
      <c r="F93" s="97"/>
      <c r="G93" s="97"/>
      <c r="H93" s="97"/>
    </row>
    <row r="94" spans="1:8" ht="15" customHeight="1">
      <c r="A94" s="100"/>
      <c r="B94" s="100"/>
      <c r="C94" s="100"/>
      <c r="D94" s="100"/>
      <c r="E94" s="100"/>
      <c r="F94" s="100"/>
      <c r="G94" s="100"/>
      <c r="H94" s="100"/>
    </row>
    <row r="95" spans="1:8" ht="15" customHeight="1">
      <c r="A95" s="97"/>
      <c r="B95" s="97"/>
      <c r="C95" s="97"/>
      <c r="D95" s="97"/>
      <c r="E95" s="97"/>
      <c r="F95" s="97"/>
      <c r="G95" s="97"/>
      <c r="H95" s="97"/>
    </row>
    <row r="96" spans="1:8" ht="15" customHeight="1">
      <c r="A96" s="100"/>
      <c r="B96" s="100"/>
      <c r="C96" s="100"/>
      <c r="D96" s="100"/>
      <c r="E96" s="100"/>
      <c r="F96" s="100"/>
      <c r="G96" s="100"/>
      <c r="H96" s="100"/>
    </row>
    <row r="97" spans="1:8" ht="15" customHeight="1">
      <c r="A97" s="97"/>
      <c r="B97" s="97"/>
      <c r="C97" s="97"/>
      <c r="D97" s="97"/>
      <c r="E97" s="97"/>
      <c r="F97" s="97"/>
      <c r="G97" s="97"/>
      <c r="H97" s="97"/>
    </row>
    <row r="98" spans="1:8" ht="15" customHeight="1">
      <c r="A98" s="100"/>
      <c r="B98" s="100"/>
      <c r="C98" s="100"/>
      <c r="D98" s="100"/>
      <c r="E98" s="100"/>
      <c r="F98" s="100"/>
      <c r="G98" s="100"/>
      <c r="H98" s="100"/>
    </row>
    <row r="99" spans="1:8" ht="15" customHeight="1">
      <c r="A99" s="97"/>
      <c r="B99" s="97"/>
      <c r="C99" s="97"/>
      <c r="D99" s="97"/>
      <c r="E99" s="97"/>
      <c r="F99" s="97"/>
      <c r="G99" s="97"/>
      <c r="H99" s="97"/>
    </row>
    <row r="100" spans="1:8" ht="15" customHeight="1">
      <c r="A100" s="100"/>
      <c r="B100" s="100"/>
      <c r="C100" s="100"/>
      <c r="D100" s="100"/>
      <c r="E100" s="100"/>
      <c r="F100" s="100"/>
      <c r="G100" s="100"/>
      <c r="H100" s="100"/>
    </row>
  </sheetData>
  <mergeCells count="1">
    <mergeCell ref="A1:H1"/>
  </mergeCells>
  <dataValidations count="2">
    <dataValidation type="list" allowBlank="1" showErrorMessage="1" errorTitle="Dato fuera de lista" error="Valor no válido. Escoge una opción de la lista." sqref="A3:A700" xr:uid="{00000000-0002-0000-0700-000000000000}">
      <formula1>Lista_Proyectos</formula1>
      <formula2>0</formula2>
    </dataValidation>
    <dataValidation type="list" allowBlank="1" showErrorMessage="1" errorTitle="Dato fuera de lista" error="Valor no válido. Escoge una opción de la lista." sqref="B3:B700" xr:uid="{00000000-0002-0000-0700-000001000000}">
      <formula1>"En curso,Cerrado,Depende de ETESA,Por Iniciar"</formula1>
      <formula2>0</formula2>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4472C4"/>
  </sheetPr>
  <dimension ref="A1:J153"/>
  <sheetViews>
    <sheetView showGridLines="0" zoomScaleNormal="100" workbookViewId="0">
      <pane xSplit="1" ySplit="2" topLeftCell="B3" activePane="bottomRight" state="frozen"/>
      <selection pane="bottomRight" activeCell="F136" sqref="F136"/>
      <selection pane="bottomLeft" activeCell="A3" sqref="A3"/>
      <selection pane="topRight" activeCell="B1" sqref="B1"/>
    </sheetView>
  </sheetViews>
  <sheetFormatPr defaultColWidth="8.7109375" defaultRowHeight="15"/>
  <cols>
    <col min="1" max="1" width="28" customWidth="1"/>
    <col min="2" max="2" width="50" customWidth="1"/>
    <col min="3" max="4" width="13" customWidth="1"/>
    <col min="5" max="5" width="11" customWidth="1"/>
    <col min="6" max="6" width="14" customWidth="1"/>
    <col min="7" max="7" width="13" customWidth="1"/>
    <col min="8" max="8" width="14" customWidth="1"/>
    <col min="9" max="9" width="30" customWidth="1"/>
    <col min="10" max="10" width="11" customWidth="1"/>
  </cols>
  <sheetData>
    <row r="1" spans="1:10" ht="21.75" customHeight="1">
      <c r="A1" s="156" t="s">
        <v>737</v>
      </c>
      <c r="B1" s="156"/>
      <c r="C1" s="156"/>
      <c r="D1" s="156"/>
      <c r="E1" s="156"/>
      <c r="F1" s="156"/>
      <c r="G1" s="156"/>
      <c r="H1" s="156"/>
      <c r="I1" s="156"/>
      <c r="J1" s="156"/>
    </row>
    <row r="2" spans="1:10" ht="30" customHeight="1">
      <c r="A2" s="95" t="s">
        <v>120</v>
      </c>
      <c r="B2" s="95" t="s">
        <v>738</v>
      </c>
      <c r="C2" s="95" t="s">
        <v>739</v>
      </c>
      <c r="D2" s="95" t="s">
        <v>740</v>
      </c>
      <c r="E2" s="95" t="s">
        <v>741</v>
      </c>
      <c r="F2" s="95" t="s">
        <v>742</v>
      </c>
      <c r="G2" s="95" t="s">
        <v>743</v>
      </c>
      <c r="H2" s="95" t="s">
        <v>744</v>
      </c>
      <c r="I2" s="95" t="s">
        <v>745</v>
      </c>
      <c r="J2" s="95" t="s">
        <v>746</v>
      </c>
    </row>
    <row r="3" spans="1:10" ht="15" customHeight="1">
      <c r="A3" s="103" t="s">
        <v>227</v>
      </c>
      <c r="B3" s="97" t="s">
        <v>747</v>
      </c>
      <c r="C3" s="105">
        <v>45324</v>
      </c>
      <c r="D3" s="105">
        <v>45324</v>
      </c>
      <c r="E3" s="97">
        <f>IF(AND(ISNUMBER(C3),ISNUMBER(D3)),D3-C3,"")</f>
        <v>0</v>
      </c>
      <c r="F3" s="98">
        <v>1</v>
      </c>
      <c r="G3" s="97"/>
      <c r="H3" s="97" t="s">
        <v>748</v>
      </c>
      <c r="I3" s="97"/>
      <c r="J3" s="97" t="s">
        <v>735</v>
      </c>
    </row>
    <row r="4" spans="1:10" ht="15" customHeight="1">
      <c r="A4" s="103" t="s">
        <v>227</v>
      </c>
      <c r="B4" s="100" t="s">
        <v>749</v>
      </c>
      <c r="C4" s="106">
        <v>45322</v>
      </c>
      <c r="D4" s="106">
        <v>45322</v>
      </c>
      <c r="E4" s="100">
        <f>IF(AND(ISNUMBER(C4),ISNUMBER(D4)),D4-C4,"")</f>
        <v>0</v>
      </c>
      <c r="F4" s="101">
        <v>1</v>
      </c>
      <c r="G4" s="100"/>
      <c r="H4" s="100" t="s">
        <v>748</v>
      </c>
      <c r="I4" s="100"/>
      <c r="J4" s="100" t="s">
        <v>735</v>
      </c>
    </row>
    <row r="5" spans="1:10" ht="15" customHeight="1">
      <c r="A5" s="103" t="s">
        <v>227</v>
      </c>
      <c r="B5" s="97" t="s">
        <v>750</v>
      </c>
      <c r="C5" s="105">
        <v>45324</v>
      </c>
      <c r="D5" s="105">
        <v>45324</v>
      </c>
      <c r="E5" s="97">
        <f>IF(AND(ISNUMBER(C5),ISNUMBER(D5)),D5-C5,"")</f>
        <v>0</v>
      </c>
      <c r="F5" s="98">
        <v>1</v>
      </c>
      <c r="G5" s="97"/>
      <c r="H5" s="97" t="s">
        <v>748</v>
      </c>
      <c r="I5" s="97"/>
      <c r="J5" s="97" t="s">
        <v>735</v>
      </c>
    </row>
    <row r="6" spans="1:10" ht="15" customHeight="1">
      <c r="A6" s="103" t="s">
        <v>227</v>
      </c>
      <c r="B6" s="100" t="s">
        <v>751</v>
      </c>
      <c r="C6" s="106">
        <v>45336</v>
      </c>
      <c r="D6" s="106">
        <v>45336</v>
      </c>
      <c r="E6" s="100">
        <f>IF(AND(ISNUMBER(C6),ISNUMBER(D6)),D6-C6,"")</f>
        <v>0</v>
      </c>
      <c r="F6" s="101">
        <v>1</v>
      </c>
      <c r="G6" s="100"/>
      <c r="H6" s="100" t="s">
        <v>748</v>
      </c>
      <c r="I6" s="100"/>
      <c r="J6" s="100" t="s">
        <v>735</v>
      </c>
    </row>
    <row r="7" spans="1:10" ht="15" customHeight="1">
      <c r="A7" s="103" t="s">
        <v>227</v>
      </c>
      <c r="B7" s="97" t="s">
        <v>752</v>
      </c>
      <c r="C7" s="105">
        <v>45342</v>
      </c>
      <c r="D7" s="105">
        <v>45342</v>
      </c>
      <c r="E7" s="97">
        <f>IF(AND(ISNUMBER(C7),ISNUMBER(D7)),D7-C7,"")</f>
        <v>0</v>
      </c>
      <c r="F7" s="98">
        <v>1</v>
      </c>
      <c r="G7" s="97"/>
      <c r="H7" s="97" t="s">
        <v>748</v>
      </c>
      <c r="I7" s="97"/>
      <c r="J7" s="97" t="s">
        <v>735</v>
      </c>
    </row>
    <row r="8" spans="1:10" ht="15" customHeight="1">
      <c r="A8" s="103" t="s">
        <v>227</v>
      </c>
      <c r="B8" s="100" t="s">
        <v>753</v>
      </c>
      <c r="C8" s="106">
        <v>45365</v>
      </c>
      <c r="D8" s="106">
        <v>45365</v>
      </c>
      <c r="E8" s="100">
        <f>IF(AND(ISNUMBER(C8),ISNUMBER(D8)),D8-C8,"")</f>
        <v>0</v>
      </c>
      <c r="F8" s="101">
        <v>1</v>
      </c>
      <c r="G8" s="100"/>
      <c r="H8" s="100" t="s">
        <v>748</v>
      </c>
      <c r="I8" s="100"/>
      <c r="J8" s="100" t="s">
        <v>735</v>
      </c>
    </row>
    <row r="9" spans="1:10" ht="15" customHeight="1">
      <c r="A9" s="103" t="s">
        <v>227</v>
      </c>
      <c r="B9" s="97" t="s">
        <v>754</v>
      </c>
      <c r="C9" s="105">
        <v>45363</v>
      </c>
      <c r="D9" s="105">
        <v>45363</v>
      </c>
      <c r="E9" s="97">
        <f>IF(AND(ISNUMBER(C9),ISNUMBER(D9)),D9-C9,"")</f>
        <v>0</v>
      </c>
      <c r="F9" s="98">
        <v>1</v>
      </c>
      <c r="G9" s="97"/>
      <c r="H9" s="97" t="s">
        <v>748</v>
      </c>
      <c r="I9" s="97"/>
      <c r="J9" s="97" t="s">
        <v>735</v>
      </c>
    </row>
    <row r="10" spans="1:10" ht="15" customHeight="1">
      <c r="A10" s="103" t="s">
        <v>227</v>
      </c>
      <c r="B10" s="100" t="s">
        <v>747</v>
      </c>
      <c r="C10" s="106">
        <v>45365</v>
      </c>
      <c r="D10" s="106">
        <v>45365</v>
      </c>
      <c r="E10" s="100">
        <f>IF(AND(ISNUMBER(C10),ISNUMBER(D10)),D10-C10,"")</f>
        <v>0</v>
      </c>
      <c r="F10" s="101">
        <v>1</v>
      </c>
      <c r="G10" s="100"/>
      <c r="H10" s="100" t="s">
        <v>748</v>
      </c>
      <c r="I10" s="100"/>
      <c r="J10" s="100" t="s">
        <v>735</v>
      </c>
    </row>
    <row r="11" spans="1:10" ht="15" customHeight="1">
      <c r="A11" s="103" t="s">
        <v>227</v>
      </c>
      <c r="B11" s="97" t="s">
        <v>755</v>
      </c>
      <c r="C11" s="105">
        <v>45370</v>
      </c>
      <c r="D11" s="105">
        <v>45370</v>
      </c>
      <c r="E11" s="97">
        <f>IF(AND(ISNUMBER(C11),ISNUMBER(D11)),D11-C11,"")</f>
        <v>0</v>
      </c>
      <c r="F11" s="98">
        <v>1</v>
      </c>
      <c r="G11" s="97"/>
      <c r="H11" s="97" t="s">
        <v>748</v>
      </c>
      <c r="I11" s="97"/>
      <c r="J11" s="97" t="s">
        <v>735</v>
      </c>
    </row>
    <row r="12" spans="1:10" ht="15" customHeight="1">
      <c r="A12" s="103" t="s">
        <v>227</v>
      </c>
      <c r="B12" s="100" t="s">
        <v>756</v>
      </c>
      <c r="C12" s="106">
        <v>45378</v>
      </c>
      <c r="D12" s="106">
        <v>45378</v>
      </c>
      <c r="E12" s="100">
        <f>IF(AND(ISNUMBER(C12),ISNUMBER(D12)),D12-C12,"")</f>
        <v>0</v>
      </c>
      <c r="F12" s="101">
        <v>1</v>
      </c>
      <c r="G12" s="100"/>
      <c r="H12" s="100" t="s">
        <v>748</v>
      </c>
      <c r="I12" s="100"/>
      <c r="J12" s="100" t="s">
        <v>735</v>
      </c>
    </row>
    <row r="13" spans="1:10" ht="15" customHeight="1">
      <c r="A13" s="103" t="s">
        <v>227</v>
      </c>
      <c r="B13" s="97" t="s">
        <v>757</v>
      </c>
      <c r="C13" s="105">
        <v>45373</v>
      </c>
      <c r="D13" s="105">
        <v>45373</v>
      </c>
      <c r="E13" s="97">
        <f>IF(AND(ISNUMBER(C13),ISNUMBER(D13)),D13-C13,"")</f>
        <v>0</v>
      </c>
      <c r="F13" s="98">
        <v>1</v>
      </c>
      <c r="G13" s="97"/>
      <c r="H13" s="97" t="s">
        <v>748</v>
      </c>
      <c r="I13" s="97"/>
      <c r="J13" s="97" t="s">
        <v>735</v>
      </c>
    </row>
    <row r="14" spans="1:10" ht="15" customHeight="1">
      <c r="A14" s="103" t="s">
        <v>227</v>
      </c>
      <c r="B14" s="100" t="s">
        <v>758</v>
      </c>
      <c r="C14" s="106">
        <v>45373</v>
      </c>
      <c r="D14" s="106">
        <v>45373</v>
      </c>
      <c r="E14" s="100">
        <f>IF(AND(ISNUMBER(C14),ISNUMBER(D14)),D14-C14,"")</f>
        <v>0</v>
      </c>
      <c r="F14" s="101">
        <v>1</v>
      </c>
      <c r="G14" s="100"/>
      <c r="H14" s="100" t="s">
        <v>748</v>
      </c>
      <c r="I14" s="100"/>
      <c r="J14" s="100" t="s">
        <v>735</v>
      </c>
    </row>
    <row r="15" spans="1:10" ht="15" customHeight="1">
      <c r="A15" s="103" t="s">
        <v>227</v>
      </c>
      <c r="B15" s="97" t="s">
        <v>754</v>
      </c>
      <c r="C15" s="105">
        <v>45371</v>
      </c>
      <c r="D15" s="105">
        <v>45371</v>
      </c>
      <c r="E15" s="97">
        <f>IF(AND(ISNUMBER(C15),ISNUMBER(D15)),D15-C15,"")</f>
        <v>0</v>
      </c>
      <c r="F15" s="98">
        <v>1</v>
      </c>
      <c r="G15" s="97"/>
      <c r="H15" s="97" t="s">
        <v>748</v>
      </c>
      <c r="I15" s="97"/>
      <c r="J15" s="97" t="s">
        <v>735</v>
      </c>
    </row>
    <row r="16" spans="1:10" ht="15" customHeight="1">
      <c r="A16" s="103" t="s">
        <v>227</v>
      </c>
      <c r="B16" s="100" t="s">
        <v>749</v>
      </c>
      <c r="C16" s="106">
        <v>45378</v>
      </c>
      <c r="D16" s="106">
        <v>45378</v>
      </c>
      <c r="E16" s="100">
        <f>IF(AND(ISNUMBER(C16),ISNUMBER(D16)),D16-C16,"")</f>
        <v>0</v>
      </c>
      <c r="F16" s="101">
        <v>1</v>
      </c>
      <c r="G16" s="100"/>
      <c r="H16" s="100" t="s">
        <v>748</v>
      </c>
      <c r="I16" s="100"/>
      <c r="J16" s="100" t="s">
        <v>735</v>
      </c>
    </row>
    <row r="17" spans="1:10" ht="15" customHeight="1">
      <c r="A17" s="103" t="s">
        <v>227</v>
      </c>
      <c r="B17" s="97" t="s">
        <v>753</v>
      </c>
      <c r="C17" s="105">
        <v>45356</v>
      </c>
      <c r="D17" s="105">
        <v>45356</v>
      </c>
      <c r="E17" s="97">
        <f>IF(AND(ISNUMBER(C17),ISNUMBER(D17)),D17-C17,"")</f>
        <v>0</v>
      </c>
      <c r="F17" s="98">
        <v>1</v>
      </c>
      <c r="G17" s="97"/>
      <c r="H17" s="97" t="s">
        <v>748</v>
      </c>
      <c r="I17" s="97"/>
      <c r="J17" s="97" t="s">
        <v>735</v>
      </c>
    </row>
    <row r="18" spans="1:10" ht="15" customHeight="1">
      <c r="A18" s="103" t="s">
        <v>227</v>
      </c>
      <c r="B18" s="100" t="s">
        <v>759</v>
      </c>
      <c r="C18" s="106">
        <v>45355</v>
      </c>
      <c r="D18" s="106">
        <v>45355</v>
      </c>
      <c r="E18" s="100">
        <f>IF(AND(ISNUMBER(C18),ISNUMBER(D18)),D18-C18,"")</f>
        <v>0</v>
      </c>
      <c r="F18" s="101">
        <v>1</v>
      </c>
      <c r="G18" s="100"/>
      <c r="H18" s="100" t="s">
        <v>748</v>
      </c>
      <c r="I18" s="100"/>
      <c r="J18" s="100" t="s">
        <v>735</v>
      </c>
    </row>
    <row r="19" spans="1:10" ht="15" customHeight="1">
      <c r="A19" s="103" t="s">
        <v>227</v>
      </c>
      <c r="B19" s="97" t="s">
        <v>760</v>
      </c>
      <c r="C19" s="105">
        <v>45356</v>
      </c>
      <c r="D19" s="105">
        <v>45356</v>
      </c>
      <c r="E19" s="97">
        <f>IF(AND(ISNUMBER(C19),ISNUMBER(D19)),D19-C19,"")</f>
        <v>0</v>
      </c>
      <c r="F19" s="98">
        <v>1</v>
      </c>
      <c r="G19" s="97"/>
      <c r="H19" s="97" t="s">
        <v>748</v>
      </c>
      <c r="I19" s="97"/>
      <c r="J19" s="97" t="s">
        <v>735</v>
      </c>
    </row>
    <row r="20" spans="1:10" ht="15" customHeight="1">
      <c r="A20" s="103" t="s">
        <v>227</v>
      </c>
      <c r="B20" s="100" t="s">
        <v>761</v>
      </c>
      <c r="C20" s="106">
        <v>45378</v>
      </c>
      <c r="D20" s="106">
        <v>45378</v>
      </c>
      <c r="E20" s="100">
        <f>IF(AND(ISNUMBER(C20),ISNUMBER(D20)),D20-C20,"")</f>
        <v>0</v>
      </c>
      <c r="F20" s="101">
        <v>1</v>
      </c>
      <c r="G20" s="100"/>
      <c r="H20" s="100" t="s">
        <v>748</v>
      </c>
      <c r="I20" s="100"/>
      <c r="J20" s="100" t="s">
        <v>735</v>
      </c>
    </row>
    <row r="21" spans="1:10" ht="15" customHeight="1">
      <c r="A21" s="103" t="s">
        <v>227</v>
      </c>
      <c r="B21" s="97" t="s">
        <v>762</v>
      </c>
      <c r="C21" s="105">
        <v>45392</v>
      </c>
      <c r="D21" s="105">
        <v>45392</v>
      </c>
      <c r="E21" s="97">
        <f>IF(AND(ISNUMBER(C21),ISNUMBER(D21)),D21-C21,"")</f>
        <v>0</v>
      </c>
      <c r="F21" s="98">
        <v>1</v>
      </c>
      <c r="G21" s="97"/>
      <c r="H21" s="97" t="s">
        <v>748</v>
      </c>
      <c r="I21" s="97"/>
      <c r="J21" s="97" t="s">
        <v>735</v>
      </c>
    </row>
    <row r="22" spans="1:10" ht="15" customHeight="1">
      <c r="A22" s="103" t="s">
        <v>227</v>
      </c>
      <c r="B22" s="100" t="s">
        <v>763</v>
      </c>
      <c r="C22" s="106">
        <v>45398</v>
      </c>
      <c r="D22" s="106">
        <v>45398</v>
      </c>
      <c r="E22" s="100">
        <f>IF(AND(ISNUMBER(C22),ISNUMBER(D22)),D22-C22,"")</f>
        <v>0</v>
      </c>
      <c r="F22" s="101">
        <v>1</v>
      </c>
      <c r="G22" s="100"/>
      <c r="H22" s="100" t="s">
        <v>748</v>
      </c>
      <c r="I22" s="100"/>
      <c r="J22" s="100" t="s">
        <v>735</v>
      </c>
    </row>
    <row r="23" spans="1:10" ht="15" customHeight="1">
      <c r="A23" s="103" t="s">
        <v>227</v>
      </c>
      <c r="B23" s="97" t="s">
        <v>764</v>
      </c>
      <c r="C23" s="105">
        <v>45398</v>
      </c>
      <c r="D23" s="105">
        <v>45398</v>
      </c>
      <c r="E23" s="97">
        <f>IF(AND(ISNUMBER(C23),ISNUMBER(D23)),D23-C23,"")</f>
        <v>0</v>
      </c>
      <c r="F23" s="98">
        <v>1</v>
      </c>
      <c r="G23" s="97"/>
      <c r="H23" s="97" t="s">
        <v>748</v>
      </c>
      <c r="I23" s="97"/>
      <c r="J23" s="97" t="s">
        <v>735</v>
      </c>
    </row>
    <row r="24" spans="1:10" ht="15" customHeight="1">
      <c r="A24" s="103" t="s">
        <v>132</v>
      </c>
      <c r="B24" s="100" t="s">
        <v>765</v>
      </c>
      <c r="C24" s="106">
        <v>45702</v>
      </c>
      <c r="D24" s="106">
        <v>45702</v>
      </c>
      <c r="E24" s="100">
        <f>IF(AND(ISNUMBER(C24),ISNUMBER(D24)),D24-C24,"")</f>
        <v>0</v>
      </c>
      <c r="F24" s="101">
        <v>1</v>
      </c>
      <c r="G24" s="100"/>
      <c r="H24" s="100" t="s">
        <v>748</v>
      </c>
      <c r="I24" s="100"/>
      <c r="J24" s="100" t="s">
        <v>735</v>
      </c>
    </row>
    <row r="25" spans="1:10" ht="15" customHeight="1">
      <c r="A25" s="103" t="s">
        <v>132</v>
      </c>
      <c r="B25" s="97" t="s">
        <v>766</v>
      </c>
      <c r="C25" s="105">
        <v>45520</v>
      </c>
      <c r="D25" s="105">
        <v>45520</v>
      </c>
      <c r="E25" s="97">
        <f>IF(AND(ISNUMBER(C25),ISNUMBER(D25)),D25-C25,"")</f>
        <v>0</v>
      </c>
      <c r="F25" s="98">
        <v>1</v>
      </c>
      <c r="G25" s="97"/>
      <c r="H25" s="97" t="s">
        <v>748</v>
      </c>
      <c r="I25" s="97"/>
      <c r="J25" s="97" t="s">
        <v>735</v>
      </c>
    </row>
    <row r="26" spans="1:10" ht="15" customHeight="1">
      <c r="A26" s="103" t="s">
        <v>132</v>
      </c>
      <c r="B26" s="100" t="s">
        <v>767</v>
      </c>
      <c r="C26" s="106">
        <v>45533</v>
      </c>
      <c r="D26" s="106">
        <v>45533</v>
      </c>
      <c r="E26" s="100">
        <f>IF(AND(ISNUMBER(C26),ISNUMBER(D26)),D26-C26,"")</f>
        <v>0</v>
      </c>
      <c r="F26" s="101">
        <v>1</v>
      </c>
      <c r="G26" s="100"/>
      <c r="H26" s="100" t="s">
        <v>748</v>
      </c>
      <c r="I26" s="100"/>
      <c r="J26" s="100" t="s">
        <v>735</v>
      </c>
    </row>
    <row r="27" spans="1:10" ht="15" customHeight="1">
      <c r="A27" s="103" t="s">
        <v>132</v>
      </c>
      <c r="B27" s="97" t="s">
        <v>768</v>
      </c>
      <c r="C27" s="105">
        <v>45546</v>
      </c>
      <c r="D27" s="105">
        <v>45546</v>
      </c>
      <c r="E27" s="97">
        <f>IF(AND(ISNUMBER(C27),ISNUMBER(D27)),D27-C27,"")</f>
        <v>0</v>
      </c>
      <c r="F27" s="98">
        <v>1</v>
      </c>
      <c r="G27" s="97"/>
      <c r="H27" s="97" t="s">
        <v>748</v>
      </c>
      <c r="I27" s="97"/>
      <c r="J27" s="97" t="s">
        <v>735</v>
      </c>
    </row>
    <row r="28" spans="1:10" ht="15" customHeight="1">
      <c r="A28" s="103" t="s">
        <v>132</v>
      </c>
      <c r="B28" s="100" t="s">
        <v>769</v>
      </c>
      <c r="C28" s="106">
        <v>45520</v>
      </c>
      <c r="D28" s="106">
        <v>45520</v>
      </c>
      <c r="E28" s="100">
        <f>IF(AND(ISNUMBER(C28),ISNUMBER(D28)),D28-C28,"")</f>
        <v>0</v>
      </c>
      <c r="F28" s="101">
        <v>1</v>
      </c>
      <c r="G28" s="100"/>
      <c r="H28" s="100" t="s">
        <v>748</v>
      </c>
      <c r="I28" s="100"/>
      <c r="J28" s="100" t="s">
        <v>735</v>
      </c>
    </row>
    <row r="29" spans="1:10" ht="15" customHeight="1">
      <c r="A29" s="103" t="s">
        <v>132</v>
      </c>
      <c r="B29" s="97" t="s">
        <v>770</v>
      </c>
      <c r="C29" s="105">
        <v>45533</v>
      </c>
      <c r="D29" s="105">
        <v>45533</v>
      </c>
      <c r="E29" s="97">
        <f>IF(AND(ISNUMBER(C29),ISNUMBER(D29)),D29-C29,"")</f>
        <v>0</v>
      </c>
      <c r="F29" s="98">
        <v>1</v>
      </c>
      <c r="G29" s="97"/>
      <c r="H29" s="97" t="s">
        <v>748</v>
      </c>
      <c r="I29" s="97"/>
      <c r="J29" s="97" t="s">
        <v>735</v>
      </c>
    </row>
    <row r="30" spans="1:10" ht="15" customHeight="1">
      <c r="A30" s="103" t="s">
        <v>132</v>
      </c>
      <c r="B30" s="100" t="s">
        <v>771</v>
      </c>
      <c r="C30" s="106">
        <v>45546</v>
      </c>
      <c r="D30" s="106">
        <v>45546</v>
      </c>
      <c r="E30" s="100">
        <f>IF(AND(ISNUMBER(C30),ISNUMBER(D30)),D30-C30,"")</f>
        <v>0</v>
      </c>
      <c r="F30" s="101">
        <v>1</v>
      </c>
      <c r="G30" s="100"/>
      <c r="H30" s="100" t="s">
        <v>748</v>
      </c>
      <c r="I30" s="100"/>
      <c r="J30" s="100" t="s">
        <v>735</v>
      </c>
    </row>
    <row r="31" spans="1:10" ht="15" customHeight="1">
      <c r="A31" s="103" t="s">
        <v>132</v>
      </c>
      <c r="B31" s="97" t="s">
        <v>772</v>
      </c>
      <c r="C31" s="105">
        <v>45520</v>
      </c>
      <c r="D31" s="105">
        <v>45520</v>
      </c>
      <c r="E31" s="97">
        <f>IF(AND(ISNUMBER(C31),ISNUMBER(D31)),D31-C31,"")</f>
        <v>0</v>
      </c>
      <c r="F31" s="98">
        <v>1</v>
      </c>
      <c r="G31" s="97"/>
      <c r="H31" s="97" t="s">
        <v>748</v>
      </c>
      <c r="I31" s="97"/>
      <c r="J31" s="97" t="s">
        <v>735</v>
      </c>
    </row>
    <row r="32" spans="1:10" ht="15" customHeight="1">
      <c r="A32" s="103" t="s">
        <v>132</v>
      </c>
      <c r="B32" s="100" t="s">
        <v>767</v>
      </c>
      <c r="C32" s="106">
        <v>45533</v>
      </c>
      <c r="D32" s="106">
        <v>45533</v>
      </c>
      <c r="E32" s="100">
        <f>IF(AND(ISNUMBER(C32),ISNUMBER(D32)),D32-C32,"")</f>
        <v>0</v>
      </c>
      <c r="F32" s="101">
        <v>1</v>
      </c>
      <c r="G32" s="100"/>
      <c r="H32" s="100" t="s">
        <v>748</v>
      </c>
      <c r="I32" s="100"/>
      <c r="J32" s="100" t="s">
        <v>735</v>
      </c>
    </row>
    <row r="33" spans="1:10" ht="15" customHeight="1">
      <c r="A33" s="103" t="s">
        <v>132</v>
      </c>
      <c r="B33" s="97" t="s">
        <v>773</v>
      </c>
      <c r="C33" s="105">
        <v>45546</v>
      </c>
      <c r="D33" s="105">
        <v>45546</v>
      </c>
      <c r="E33" s="97">
        <f>IF(AND(ISNUMBER(C33),ISNUMBER(D33)),D33-C33,"")</f>
        <v>0</v>
      </c>
      <c r="F33" s="98">
        <v>1</v>
      </c>
      <c r="G33" s="97"/>
      <c r="H33" s="97" t="s">
        <v>748</v>
      </c>
      <c r="I33" s="97"/>
      <c r="J33" s="97" t="s">
        <v>735</v>
      </c>
    </row>
    <row r="34" spans="1:10" ht="15" customHeight="1">
      <c r="A34" s="103" t="s">
        <v>132</v>
      </c>
      <c r="B34" s="100" t="s">
        <v>774</v>
      </c>
      <c r="C34" s="106">
        <v>45758</v>
      </c>
      <c r="D34" s="106">
        <v>45758</v>
      </c>
      <c r="E34" s="100">
        <f>IF(AND(ISNUMBER(C34),ISNUMBER(D34)),D34-C34,"")</f>
        <v>0</v>
      </c>
      <c r="F34" s="101">
        <v>1</v>
      </c>
      <c r="G34" s="100"/>
      <c r="H34" s="100" t="s">
        <v>748</v>
      </c>
      <c r="I34" s="100"/>
      <c r="J34" s="100" t="s">
        <v>735</v>
      </c>
    </row>
    <row r="35" spans="1:10" ht="15" customHeight="1">
      <c r="A35" s="103" t="s">
        <v>132</v>
      </c>
      <c r="B35" s="97" t="s">
        <v>775</v>
      </c>
      <c r="C35" s="105">
        <v>45772</v>
      </c>
      <c r="D35" s="105">
        <v>45772</v>
      </c>
      <c r="E35" s="97">
        <f>IF(AND(ISNUMBER(C35),ISNUMBER(D35)),D35-C35,"")</f>
        <v>0</v>
      </c>
      <c r="F35" s="98">
        <v>1</v>
      </c>
      <c r="G35" s="97"/>
      <c r="H35" s="97" t="s">
        <v>748</v>
      </c>
      <c r="I35" s="97"/>
      <c r="J35" s="97" t="s">
        <v>735</v>
      </c>
    </row>
    <row r="36" spans="1:10" ht="15" customHeight="1">
      <c r="A36" s="103" t="s">
        <v>132</v>
      </c>
      <c r="B36" s="100" t="s">
        <v>776</v>
      </c>
      <c r="C36" s="106">
        <v>45786</v>
      </c>
      <c r="D36" s="106">
        <v>45786</v>
      </c>
      <c r="E36" s="100">
        <f>IF(AND(ISNUMBER(C36),ISNUMBER(D36)),D36-C36,"")</f>
        <v>0</v>
      </c>
      <c r="F36" s="101">
        <v>1</v>
      </c>
      <c r="G36" s="100"/>
      <c r="H36" s="100" t="s">
        <v>748</v>
      </c>
      <c r="I36" s="100"/>
      <c r="J36" s="100" t="s">
        <v>735</v>
      </c>
    </row>
    <row r="37" spans="1:10" ht="15" customHeight="1">
      <c r="A37" s="103" t="s">
        <v>132</v>
      </c>
      <c r="B37" s="97" t="s">
        <v>777</v>
      </c>
      <c r="C37" s="105">
        <v>45786</v>
      </c>
      <c r="D37" s="105">
        <v>45786</v>
      </c>
      <c r="E37" s="97">
        <f>IF(AND(ISNUMBER(C37),ISNUMBER(D37)),D37-C37,"")</f>
        <v>0</v>
      </c>
      <c r="F37" s="98">
        <v>0.21</v>
      </c>
      <c r="G37" s="97"/>
      <c r="H37" s="97" t="s">
        <v>725</v>
      </c>
      <c r="I37" s="97"/>
      <c r="J37" s="97" t="s">
        <v>778</v>
      </c>
    </row>
    <row r="38" spans="1:10" ht="15" customHeight="1">
      <c r="A38" s="96" t="s">
        <v>350</v>
      </c>
      <c r="B38" s="100" t="s">
        <v>779</v>
      </c>
      <c r="C38" s="106">
        <v>45736</v>
      </c>
      <c r="D38" s="106">
        <v>45736</v>
      </c>
      <c r="E38" s="100">
        <f>IF(AND(ISNUMBER(C38),ISNUMBER(D38)),D38-C38,"")</f>
        <v>0</v>
      </c>
      <c r="F38" s="101">
        <v>0</v>
      </c>
      <c r="G38" s="100"/>
      <c r="H38" s="100" t="s">
        <v>780</v>
      </c>
      <c r="I38" s="100"/>
      <c r="J38" s="100" t="s">
        <v>778</v>
      </c>
    </row>
    <row r="39" spans="1:10" ht="15" customHeight="1">
      <c r="A39" s="96" t="s">
        <v>350</v>
      </c>
      <c r="B39" s="97" t="s">
        <v>781</v>
      </c>
      <c r="C39" s="105">
        <v>45749</v>
      </c>
      <c r="D39" s="105">
        <v>45749</v>
      </c>
      <c r="E39" s="97">
        <f>IF(AND(ISNUMBER(C39),ISNUMBER(D39)),D39-C39,"")</f>
        <v>0</v>
      </c>
      <c r="F39" s="98">
        <v>0</v>
      </c>
      <c r="G39" s="97"/>
      <c r="H39" s="97" t="s">
        <v>780</v>
      </c>
      <c r="I39" s="97"/>
      <c r="J39" s="97" t="s">
        <v>778</v>
      </c>
    </row>
    <row r="40" spans="1:10" ht="15" customHeight="1">
      <c r="A40" s="96" t="s">
        <v>350</v>
      </c>
      <c r="B40" s="100" t="s">
        <v>782</v>
      </c>
      <c r="C40" s="106">
        <v>45749</v>
      </c>
      <c r="D40" s="106">
        <v>45749</v>
      </c>
      <c r="E40" s="100">
        <f>IF(AND(ISNUMBER(C40),ISNUMBER(D40)),D40-C40,"")</f>
        <v>0</v>
      </c>
      <c r="F40" s="101">
        <v>0</v>
      </c>
      <c r="G40" s="100"/>
      <c r="H40" s="100" t="s">
        <v>780</v>
      </c>
      <c r="I40" s="100"/>
      <c r="J40" s="100" t="s">
        <v>778</v>
      </c>
    </row>
    <row r="41" spans="1:10" ht="15" customHeight="1">
      <c r="A41" s="96" t="s">
        <v>350</v>
      </c>
      <c r="B41" s="97" t="s">
        <v>783</v>
      </c>
      <c r="C41" s="105">
        <v>45749</v>
      </c>
      <c r="D41" s="105">
        <v>45749</v>
      </c>
      <c r="E41" s="97">
        <f>IF(AND(ISNUMBER(C41),ISNUMBER(D41)),D41-C41,"")</f>
        <v>0</v>
      </c>
      <c r="F41" s="98">
        <v>0</v>
      </c>
      <c r="G41" s="97"/>
      <c r="H41" s="97" t="s">
        <v>780</v>
      </c>
      <c r="I41" s="97"/>
      <c r="J41" s="97" t="s">
        <v>778</v>
      </c>
    </row>
    <row r="42" spans="1:10" ht="15" customHeight="1">
      <c r="A42" s="96" t="s">
        <v>354</v>
      </c>
      <c r="B42" s="100" t="s">
        <v>784</v>
      </c>
      <c r="C42" s="106">
        <v>45609</v>
      </c>
      <c r="D42" s="106">
        <v>45609</v>
      </c>
      <c r="E42" s="100">
        <f>IF(AND(ISNUMBER(C42),ISNUMBER(D42)),D42-C42,"")</f>
        <v>0</v>
      </c>
      <c r="F42" s="101">
        <v>1</v>
      </c>
      <c r="G42" s="100"/>
      <c r="H42" s="100" t="s">
        <v>748</v>
      </c>
      <c r="I42" s="100"/>
      <c r="J42" s="100" t="s">
        <v>735</v>
      </c>
    </row>
    <row r="43" spans="1:10" ht="15" customHeight="1">
      <c r="A43" s="96" t="s">
        <v>354</v>
      </c>
      <c r="B43" s="97" t="s">
        <v>785</v>
      </c>
      <c r="C43" s="105">
        <v>45719</v>
      </c>
      <c r="D43" s="105">
        <v>45719</v>
      </c>
      <c r="E43" s="97">
        <f>IF(AND(ISNUMBER(C43),ISNUMBER(D43)),D43-C43,"")</f>
        <v>0</v>
      </c>
      <c r="F43" s="98">
        <v>1</v>
      </c>
      <c r="G43" s="97"/>
      <c r="H43" s="97" t="s">
        <v>748</v>
      </c>
      <c r="I43" s="97"/>
      <c r="J43" s="97" t="s">
        <v>735</v>
      </c>
    </row>
    <row r="44" spans="1:10" ht="15" customHeight="1">
      <c r="A44" s="96" t="s">
        <v>354</v>
      </c>
      <c r="B44" s="100" t="s">
        <v>779</v>
      </c>
      <c r="C44" s="106">
        <v>45723</v>
      </c>
      <c r="D44" s="106">
        <v>45723</v>
      </c>
      <c r="E44" s="100">
        <f>IF(AND(ISNUMBER(C44),ISNUMBER(D44)),D44-C44,"")</f>
        <v>0</v>
      </c>
      <c r="F44" s="101">
        <v>0</v>
      </c>
      <c r="G44" s="100"/>
      <c r="H44" s="100" t="s">
        <v>780</v>
      </c>
      <c r="I44" s="100"/>
      <c r="J44" s="100" t="s">
        <v>778</v>
      </c>
    </row>
    <row r="45" spans="1:10" ht="15" customHeight="1">
      <c r="A45" s="96" t="s">
        <v>354</v>
      </c>
      <c r="B45" s="97" t="s">
        <v>234</v>
      </c>
      <c r="C45" s="105">
        <v>45723</v>
      </c>
      <c r="D45" s="105">
        <v>45723</v>
      </c>
      <c r="E45" s="97">
        <f>IF(AND(ISNUMBER(C45),ISNUMBER(D45)),D45-C45,"")</f>
        <v>0</v>
      </c>
      <c r="F45" s="98">
        <v>1</v>
      </c>
      <c r="G45" s="97"/>
      <c r="H45" s="97" t="s">
        <v>748</v>
      </c>
      <c r="I45" s="97"/>
      <c r="J45" s="97" t="s">
        <v>735</v>
      </c>
    </row>
    <row r="46" spans="1:10" ht="15" customHeight="1">
      <c r="A46" s="96" t="s">
        <v>354</v>
      </c>
      <c r="B46" s="100" t="s">
        <v>786</v>
      </c>
      <c r="C46" s="106">
        <v>45723</v>
      </c>
      <c r="D46" s="106">
        <v>45723</v>
      </c>
      <c r="E46" s="100">
        <f>IF(AND(ISNUMBER(C46),ISNUMBER(D46)),D46-C46,"")</f>
        <v>0</v>
      </c>
      <c r="F46" s="101">
        <v>0</v>
      </c>
      <c r="G46" s="100"/>
      <c r="H46" s="100" t="s">
        <v>780</v>
      </c>
      <c r="I46" s="100"/>
      <c r="J46" s="100" t="s">
        <v>778</v>
      </c>
    </row>
    <row r="47" spans="1:10" ht="15" customHeight="1">
      <c r="A47" s="96" t="s">
        <v>354</v>
      </c>
      <c r="B47" s="97" t="s">
        <v>787</v>
      </c>
      <c r="C47" s="105">
        <v>45723</v>
      </c>
      <c r="D47" s="105">
        <v>45723</v>
      </c>
      <c r="E47" s="97">
        <f>IF(AND(ISNUMBER(C47),ISNUMBER(D47)),D47-C47,"")</f>
        <v>0</v>
      </c>
      <c r="F47" s="98">
        <v>0.8</v>
      </c>
      <c r="G47" s="97"/>
      <c r="H47" s="97" t="s">
        <v>725</v>
      </c>
      <c r="I47" s="97"/>
      <c r="J47" s="97" t="s">
        <v>778</v>
      </c>
    </row>
    <row r="48" spans="1:10" ht="15" customHeight="1">
      <c r="A48" s="96" t="s">
        <v>354</v>
      </c>
      <c r="B48" s="100" t="s">
        <v>781</v>
      </c>
      <c r="C48" s="106">
        <v>45723</v>
      </c>
      <c r="D48" s="106">
        <v>45723</v>
      </c>
      <c r="E48" s="100">
        <f>IF(AND(ISNUMBER(C48),ISNUMBER(D48)),D48-C48,"")</f>
        <v>0</v>
      </c>
      <c r="F48" s="101">
        <v>0</v>
      </c>
      <c r="G48" s="100"/>
      <c r="H48" s="100" t="s">
        <v>780</v>
      </c>
      <c r="I48" s="100"/>
      <c r="J48" s="100" t="s">
        <v>778</v>
      </c>
    </row>
    <row r="49" spans="1:10" ht="15" customHeight="1">
      <c r="A49" s="96" t="s">
        <v>354</v>
      </c>
      <c r="B49" s="97" t="s">
        <v>782</v>
      </c>
      <c r="C49" s="105">
        <v>45723</v>
      </c>
      <c r="D49" s="105">
        <v>45723</v>
      </c>
      <c r="E49" s="97">
        <f>IF(AND(ISNUMBER(C49),ISNUMBER(D49)),D49-C49,"")</f>
        <v>0</v>
      </c>
      <c r="F49" s="98">
        <v>0</v>
      </c>
      <c r="G49" s="97"/>
      <c r="H49" s="97" t="s">
        <v>780</v>
      </c>
      <c r="I49" s="97"/>
      <c r="J49" s="97" t="s">
        <v>778</v>
      </c>
    </row>
    <row r="50" spans="1:10" ht="15" customHeight="1">
      <c r="A50" s="96" t="s">
        <v>354</v>
      </c>
      <c r="B50" s="100" t="s">
        <v>788</v>
      </c>
      <c r="C50" s="106">
        <v>45723</v>
      </c>
      <c r="D50" s="106">
        <v>45723</v>
      </c>
      <c r="E50" s="100">
        <f>IF(AND(ISNUMBER(C50),ISNUMBER(D50)),D50-C50,"")</f>
        <v>0</v>
      </c>
      <c r="F50" s="101">
        <v>0</v>
      </c>
      <c r="G50" s="100"/>
      <c r="H50" s="100" t="s">
        <v>780</v>
      </c>
      <c r="I50" s="100"/>
      <c r="J50" s="100" t="s">
        <v>778</v>
      </c>
    </row>
    <row r="51" spans="1:10" ht="15" customHeight="1">
      <c r="A51" s="103" t="s">
        <v>312</v>
      </c>
      <c r="B51" s="97" t="s">
        <v>784</v>
      </c>
      <c r="C51" s="105">
        <v>45667</v>
      </c>
      <c r="D51" s="105">
        <v>45667</v>
      </c>
      <c r="E51" s="97">
        <f>IF(AND(ISNUMBER(C51),ISNUMBER(D51)),D51-C51,"")</f>
        <v>0</v>
      </c>
      <c r="F51" s="98">
        <v>1</v>
      </c>
      <c r="G51" s="97"/>
      <c r="H51" s="97" t="s">
        <v>748</v>
      </c>
      <c r="I51" s="97"/>
      <c r="J51" s="97" t="s">
        <v>735</v>
      </c>
    </row>
    <row r="52" spans="1:10" ht="15" customHeight="1">
      <c r="A52" s="103" t="s">
        <v>312</v>
      </c>
      <c r="B52" s="100" t="s">
        <v>785</v>
      </c>
      <c r="C52" s="106">
        <v>45677</v>
      </c>
      <c r="D52" s="106">
        <v>45677</v>
      </c>
      <c r="E52" s="100">
        <f>IF(AND(ISNUMBER(C52),ISNUMBER(D52)),D52-C52,"")</f>
        <v>0</v>
      </c>
      <c r="F52" s="101">
        <v>1</v>
      </c>
      <c r="G52" s="100"/>
      <c r="H52" s="100" t="s">
        <v>748</v>
      </c>
      <c r="I52" s="100"/>
      <c r="J52" s="100" t="s">
        <v>735</v>
      </c>
    </row>
    <row r="53" spans="1:10" ht="15" customHeight="1">
      <c r="A53" s="103" t="s">
        <v>312</v>
      </c>
      <c r="B53" s="97" t="s">
        <v>789</v>
      </c>
      <c r="C53" s="105">
        <v>45716</v>
      </c>
      <c r="D53" s="105">
        <v>45716</v>
      </c>
      <c r="E53" s="97">
        <f>IF(AND(ISNUMBER(C53),ISNUMBER(D53)),D53-C53,"")</f>
        <v>0</v>
      </c>
      <c r="F53" s="98">
        <v>1</v>
      </c>
      <c r="G53" s="97"/>
      <c r="H53" s="97" t="s">
        <v>748</v>
      </c>
      <c r="I53" s="97"/>
      <c r="J53" s="97" t="s">
        <v>735</v>
      </c>
    </row>
    <row r="54" spans="1:10" ht="15" customHeight="1">
      <c r="A54" s="103" t="s">
        <v>312</v>
      </c>
      <c r="B54" s="100" t="s">
        <v>790</v>
      </c>
      <c r="C54" s="106">
        <v>45722</v>
      </c>
      <c r="D54" s="106">
        <v>45722</v>
      </c>
      <c r="E54" s="100">
        <f>IF(AND(ISNUMBER(C54),ISNUMBER(D54)),D54-C54,"")</f>
        <v>0</v>
      </c>
      <c r="F54" s="101">
        <v>1</v>
      </c>
      <c r="G54" s="100"/>
      <c r="H54" s="100" t="s">
        <v>748</v>
      </c>
      <c r="I54" s="100"/>
      <c r="J54" s="100" t="s">
        <v>735</v>
      </c>
    </row>
    <row r="55" spans="1:10" ht="15" customHeight="1">
      <c r="A55" s="103" t="s">
        <v>312</v>
      </c>
      <c r="B55" s="97" t="s">
        <v>791</v>
      </c>
      <c r="C55" s="105">
        <v>45756</v>
      </c>
      <c r="D55" s="105">
        <v>45756</v>
      </c>
      <c r="E55" s="97">
        <f>IF(AND(ISNUMBER(C55),ISNUMBER(D55)),D55-C55,"")</f>
        <v>0</v>
      </c>
      <c r="F55" s="98">
        <v>0</v>
      </c>
      <c r="G55" s="97"/>
      <c r="H55" s="97" t="s">
        <v>780</v>
      </c>
      <c r="I55" s="97"/>
      <c r="J55" s="97" t="s">
        <v>778</v>
      </c>
    </row>
    <row r="56" spans="1:10" ht="15" customHeight="1">
      <c r="A56" s="103" t="s">
        <v>312</v>
      </c>
      <c r="B56" s="100" t="s">
        <v>792</v>
      </c>
      <c r="C56" s="106">
        <v>45756</v>
      </c>
      <c r="D56" s="106">
        <v>45756</v>
      </c>
      <c r="E56" s="100">
        <f>IF(AND(ISNUMBER(C56),ISNUMBER(D56)),D56-C56,"")</f>
        <v>0</v>
      </c>
      <c r="F56" s="101">
        <v>0</v>
      </c>
      <c r="G56" s="100"/>
      <c r="H56" s="100" t="s">
        <v>780</v>
      </c>
      <c r="I56" s="100"/>
      <c r="J56" s="100" t="s">
        <v>778</v>
      </c>
    </row>
    <row r="57" spans="1:10" ht="15" customHeight="1">
      <c r="A57" s="103" t="s">
        <v>312</v>
      </c>
      <c r="B57" s="97" t="s">
        <v>793</v>
      </c>
      <c r="C57" s="105">
        <v>45756</v>
      </c>
      <c r="D57" s="105">
        <v>45756</v>
      </c>
      <c r="E57" s="97">
        <f>IF(AND(ISNUMBER(C57),ISNUMBER(D57)),D57-C57,"")</f>
        <v>0</v>
      </c>
      <c r="F57" s="98">
        <v>0</v>
      </c>
      <c r="G57" s="97"/>
      <c r="H57" s="97" t="s">
        <v>780</v>
      </c>
      <c r="I57" s="97"/>
      <c r="J57" s="97" t="s">
        <v>778</v>
      </c>
    </row>
    <row r="58" spans="1:10" ht="15" customHeight="1">
      <c r="A58" s="103" t="s">
        <v>312</v>
      </c>
      <c r="B58" s="100" t="s">
        <v>794</v>
      </c>
      <c r="C58" s="106">
        <v>45756</v>
      </c>
      <c r="D58" s="106">
        <v>45756</v>
      </c>
      <c r="E58" s="100">
        <f>IF(AND(ISNUMBER(C58),ISNUMBER(D58)),D58-C58,"")</f>
        <v>0</v>
      </c>
      <c r="F58" s="101">
        <v>0</v>
      </c>
      <c r="G58" s="100"/>
      <c r="H58" s="100" t="s">
        <v>780</v>
      </c>
      <c r="I58" s="100"/>
      <c r="J58" s="100" t="s">
        <v>778</v>
      </c>
    </row>
    <row r="59" spans="1:10" ht="15" customHeight="1">
      <c r="A59" s="103" t="s">
        <v>312</v>
      </c>
      <c r="B59" s="97" t="s">
        <v>402</v>
      </c>
      <c r="C59" s="105">
        <v>45723</v>
      </c>
      <c r="D59" s="105">
        <v>45723</v>
      </c>
      <c r="E59" s="97">
        <f>IF(AND(ISNUMBER(C59),ISNUMBER(D59)),D59-C59,"")</f>
        <v>0</v>
      </c>
      <c r="F59" s="98">
        <v>0</v>
      </c>
      <c r="G59" s="97"/>
      <c r="H59" s="97" t="s">
        <v>780</v>
      </c>
      <c r="I59" s="97"/>
      <c r="J59" s="97" t="s">
        <v>778</v>
      </c>
    </row>
    <row r="60" spans="1:10" ht="15" customHeight="1">
      <c r="A60" s="103" t="s">
        <v>312</v>
      </c>
      <c r="B60" s="100" t="s">
        <v>795</v>
      </c>
      <c r="C60" s="106">
        <v>45758</v>
      </c>
      <c r="D60" s="106">
        <v>45758</v>
      </c>
      <c r="E60" s="100">
        <f>IF(AND(ISNUMBER(C60),ISNUMBER(D60)),D60-C60,"")</f>
        <v>0</v>
      </c>
      <c r="F60" s="101">
        <v>0</v>
      </c>
      <c r="G60" s="100"/>
      <c r="H60" s="100" t="s">
        <v>780</v>
      </c>
      <c r="I60" s="100"/>
      <c r="J60" s="100" t="s">
        <v>778</v>
      </c>
    </row>
    <row r="61" spans="1:10" ht="15" customHeight="1">
      <c r="A61" s="103" t="s">
        <v>312</v>
      </c>
      <c r="B61" s="97" t="s">
        <v>792</v>
      </c>
      <c r="C61" s="105">
        <v>45758</v>
      </c>
      <c r="D61" s="105">
        <v>45758</v>
      </c>
      <c r="E61" s="97">
        <f>IF(AND(ISNUMBER(C61),ISNUMBER(D61)),D61-C61,"")</f>
        <v>0</v>
      </c>
      <c r="F61" s="98">
        <v>0</v>
      </c>
      <c r="G61" s="97"/>
      <c r="H61" s="97" t="s">
        <v>780</v>
      </c>
      <c r="I61" s="97"/>
      <c r="J61" s="97" t="s">
        <v>778</v>
      </c>
    </row>
    <row r="62" spans="1:10" ht="15" customHeight="1">
      <c r="A62" s="103" t="s">
        <v>312</v>
      </c>
      <c r="B62" s="100" t="s">
        <v>796</v>
      </c>
      <c r="C62" s="106">
        <v>45758</v>
      </c>
      <c r="D62" s="106">
        <v>45758</v>
      </c>
      <c r="E62" s="100">
        <f>IF(AND(ISNUMBER(C62),ISNUMBER(D62)),D62-C62,"")</f>
        <v>0</v>
      </c>
      <c r="F62" s="101">
        <v>0</v>
      </c>
      <c r="G62" s="100"/>
      <c r="H62" s="100" t="s">
        <v>780</v>
      </c>
      <c r="I62" s="100"/>
      <c r="J62" s="100" t="s">
        <v>778</v>
      </c>
    </row>
    <row r="63" spans="1:10" ht="15" customHeight="1">
      <c r="A63" s="103" t="s">
        <v>312</v>
      </c>
      <c r="B63" s="97" t="s">
        <v>794</v>
      </c>
      <c r="C63" s="105">
        <v>45758</v>
      </c>
      <c r="D63" s="105">
        <v>45758</v>
      </c>
      <c r="E63" s="97">
        <f>IF(AND(ISNUMBER(C63),ISNUMBER(D63)),D63-C63,"")</f>
        <v>0</v>
      </c>
      <c r="F63" s="98">
        <v>0</v>
      </c>
      <c r="G63" s="97"/>
      <c r="H63" s="97" t="s">
        <v>780</v>
      </c>
      <c r="I63" s="97"/>
      <c r="J63" s="97" t="s">
        <v>778</v>
      </c>
    </row>
    <row r="64" spans="1:10" ht="15" customHeight="1">
      <c r="A64" s="103" t="s">
        <v>312</v>
      </c>
      <c r="B64" s="100" t="s">
        <v>781</v>
      </c>
      <c r="C64" s="106">
        <v>45758</v>
      </c>
      <c r="D64" s="106">
        <v>45758</v>
      </c>
      <c r="E64" s="100">
        <f>IF(AND(ISNUMBER(C64),ISNUMBER(D64)),D64-C64,"")</f>
        <v>0</v>
      </c>
      <c r="F64" s="101">
        <v>0</v>
      </c>
      <c r="G64" s="100"/>
      <c r="H64" s="100" t="s">
        <v>780</v>
      </c>
      <c r="I64" s="100"/>
      <c r="J64" s="100" t="s">
        <v>778</v>
      </c>
    </row>
    <row r="65" spans="1:10" ht="15" customHeight="1">
      <c r="A65" s="103" t="s">
        <v>312</v>
      </c>
      <c r="B65" s="97" t="s">
        <v>797</v>
      </c>
      <c r="C65" s="105">
        <v>45758</v>
      </c>
      <c r="D65" s="105">
        <v>45758</v>
      </c>
      <c r="E65" s="97">
        <f>IF(AND(ISNUMBER(C65),ISNUMBER(D65)),D65-C65,"")</f>
        <v>0</v>
      </c>
      <c r="F65" s="98">
        <v>0</v>
      </c>
      <c r="G65" s="97"/>
      <c r="H65" s="97" t="s">
        <v>780</v>
      </c>
      <c r="I65" s="97"/>
      <c r="J65" s="97" t="s">
        <v>778</v>
      </c>
    </row>
    <row r="66" spans="1:10" ht="15" customHeight="1">
      <c r="A66" s="96" t="s">
        <v>345</v>
      </c>
      <c r="B66" s="97" t="s">
        <v>784</v>
      </c>
      <c r="C66" s="105">
        <v>45534</v>
      </c>
      <c r="D66" s="105">
        <v>45534</v>
      </c>
      <c r="E66" s="97">
        <f>IF(AND(ISNUMBER(C71),ISNUMBER(D71)),D71-C71,"")</f>
        <v>0</v>
      </c>
      <c r="F66" s="98">
        <v>1</v>
      </c>
      <c r="G66" s="97"/>
      <c r="H66" s="97" t="s">
        <v>748</v>
      </c>
      <c r="I66" s="97"/>
      <c r="J66" s="97" t="s">
        <v>735</v>
      </c>
    </row>
    <row r="67" spans="1:10" ht="15" customHeight="1">
      <c r="A67" s="96" t="s">
        <v>345</v>
      </c>
      <c r="B67" s="100" t="s">
        <v>785</v>
      </c>
      <c r="C67" s="106">
        <v>45716</v>
      </c>
      <c r="D67" s="106">
        <v>45716</v>
      </c>
      <c r="E67" s="100">
        <f>IF(AND(ISNUMBER(C72),ISNUMBER(D72)),D72-C72,"")</f>
        <v>0</v>
      </c>
      <c r="F67" s="101">
        <v>1</v>
      </c>
      <c r="G67" s="100"/>
      <c r="H67" s="100" t="s">
        <v>748</v>
      </c>
      <c r="I67" s="100"/>
      <c r="J67" s="100" t="s">
        <v>735</v>
      </c>
    </row>
    <row r="68" spans="1:10" ht="15" customHeight="1">
      <c r="A68" s="96" t="s">
        <v>345</v>
      </c>
      <c r="B68" s="97" t="s">
        <v>798</v>
      </c>
      <c r="C68" s="105">
        <v>45625</v>
      </c>
      <c r="D68" s="105">
        <v>45625</v>
      </c>
      <c r="E68" s="97">
        <f>IF(AND(ISNUMBER(C73),ISNUMBER(D73)),D73-C73,"")</f>
        <v>0</v>
      </c>
      <c r="F68" s="98">
        <v>1</v>
      </c>
      <c r="G68" s="97"/>
      <c r="H68" s="97" t="s">
        <v>748</v>
      </c>
      <c r="I68" s="97"/>
      <c r="J68" s="97" t="s">
        <v>735</v>
      </c>
    </row>
    <row r="69" spans="1:10" ht="15" customHeight="1">
      <c r="A69" s="96" t="s">
        <v>345</v>
      </c>
      <c r="B69" s="100" t="s">
        <v>612</v>
      </c>
      <c r="C69" s="106">
        <v>45625</v>
      </c>
      <c r="D69" s="106">
        <v>45625</v>
      </c>
      <c r="E69" s="100">
        <f>IF(AND(ISNUMBER(C74),ISNUMBER(D74)),D74-C74,"")</f>
        <v>0</v>
      </c>
      <c r="F69" s="101">
        <v>1</v>
      </c>
      <c r="G69" s="100"/>
      <c r="H69" s="100" t="s">
        <v>748</v>
      </c>
      <c r="I69" s="100"/>
      <c r="J69" s="100" t="s">
        <v>735</v>
      </c>
    </row>
    <row r="70" spans="1:10" ht="15" customHeight="1">
      <c r="A70" s="96" t="s">
        <v>345</v>
      </c>
      <c r="B70" s="97" t="s">
        <v>799</v>
      </c>
      <c r="C70" s="105">
        <v>45625</v>
      </c>
      <c r="D70" s="105">
        <v>45625</v>
      </c>
      <c r="E70" s="97">
        <f>IF(AND(ISNUMBER(C75),ISNUMBER(D75)),D75-C75,"")</f>
        <v>0</v>
      </c>
      <c r="F70" s="98">
        <v>1</v>
      </c>
      <c r="G70" s="97"/>
      <c r="H70" s="97" t="s">
        <v>748</v>
      </c>
      <c r="I70" s="97"/>
      <c r="J70" s="97" t="s">
        <v>735</v>
      </c>
    </row>
    <row r="71" spans="1:10" ht="15" customHeight="1">
      <c r="A71" s="96" t="s">
        <v>345</v>
      </c>
      <c r="B71" s="100" t="s">
        <v>800</v>
      </c>
      <c r="C71" s="106">
        <v>45628</v>
      </c>
      <c r="D71" s="106">
        <v>45628</v>
      </c>
      <c r="E71" s="100">
        <f>IF(AND(ISNUMBER(C76),ISNUMBER(D76)),D76-C76,"")</f>
        <v>0</v>
      </c>
      <c r="F71" s="101">
        <v>1</v>
      </c>
      <c r="G71" s="100"/>
      <c r="H71" s="100" t="s">
        <v>748</v>
      </c>
      <c r="I71" s="100"/>
      <c r="J71" s="100" t="s">
        <v>735</v>
      </c>
    </row>
    <row r="72" spans="1:10" ht="15" customHeight="1">
      <c r="A72" s="96" t="s">
        <v>345</v>
      </c>
      <c r="B72" s="97" t="s">
        <v>794</v>
      </c>
      <c r="C72" s="105">
        <v>45630</v>
      </c>
      <c r="D72" s="105">
        <v>45630</v>
      </c>
      <c r="E72" s="97">
        <f>IF(AND(ISNUMBER(C77),ISNUMBER(D77)),D77-C77,"")</f>
        <v>0</v>
      </c>
      <c r="F72" s="98">
        <v>0.5</v>
      </c>
      <c r="G72" s="97"/>
      <c r="H72" s="97" t="s">
        <v>748</v>
      </c>
      <c r="I72" s="97"/>
      <c r="J72" s="97" t="s">
        <v>735</v>
      </c>
    </row>
    <row r="73" spans="1:10" ht="15" customHeight="1">
      <c r="A73" s="96" t="s">
        <v>345</v>
      </c>
      <c r="B73" s="100" t="s">
        <v>801</v>
      </c>
      <c r="C73" s="106">
        <v>45796</v>
      </c>
      <c r="D73" s="106">
        <v>45796</v>
      </c>
      <c r="E73" s="100">
        <f>IF(AND(ISNUMBER(C78),ISNUMBER(D78)),D78-C78,"")</f>
        <v>0</v>
      </c>
      <c r="F73" s="101">
        <v>0</v>
      </c>
      <c r="G73" s="100"/>
      <c r="H73" s="100" t="s">
        <v>780</v>
      </c>
      <c r="I73" s="100"/>
      <c r="J73" s="100" t="s">
        <v>778</v>
      </c>
    </row>
    <row r="74" spans="1:10" ht="15" customHeight="1">
      <c r="A74" s="96" t="s">
        <v>345</v>
      </c>
      <c r="B74" s="97" t="s">
        <v>794</v>
      </c>
      <c r="C74" s="105">
        <v>45798</v>
      </c>
      <c r="D74" s="105">
        <v>45798</v>
      </c>
      <c r="E74" s="97">
        <f>IF(AND(ISNUMBER(C79),ISNUMBER(D79)),D79-C79,"")</f>
        <v>0</v>
      </c>
      <c r="F74" s="98">
        <v>0.5</v>
      </c>
      <c r="G74" s="97"/>
      <c r="H74" s="97" t="s">
        <v>725</v>
      </c>
      <c r="I74" s="97"/>
      <c r="J74" s="97" t="s">
        <v>778</v>
      </c>
    </row>
    <row r="75" spans="1:10" ht="15" customHeight="1">
      <c r="A75" s="96" t="s">
        <v>345</v>
      </c>
      <c r="B75" s="100" t="s">
        <v>781</v>
      </c>
      <c r="C75" s="106">
        <v>45798</v>
      </c>
      <c r="D75" s="106">
        <v>45798</v>
      </c>
      <c r="E75" s="100">
        <f>IF(AND(ISNUMBER(C80),ISNUMBER(D80)),D80-C80,"")</f>
        <v>0</v>
      </c>
      <c r="F75" s="101">
        <v>0</v>
      </c>
      <c r="G75" s="100"/>
      <c r="H75" s="100" t="s">
        <v>780</v>
      </c>
      <c r="I75" s="100"/>
      <c r="J75" s="100" t="s">
        <v>778</v>
      </c>
    </row>
    <row r="76" spans="1:10" ht="15" customHeight="1">
      <c r="A76" s="96" t="s">
        <v>345</v>
      </c>
      <c r="B76" s="97" t="s">
        <v>782</v>
      </c>
      <c r="C76" s="105">
        <v>45798</v>
      </c>
      <c r="D76" s="105">
        <v>45798</v>
      </c>
      <c r="E76" s="97">
        <f>IF(AND(ISNUMBER(C81),ISNUMBER(D81)),D81-C81,"")</f>
        <v>0</v>
      </c>
      <c r="F76" s="98">
        <v>0</v>
      </c>
      <c r="G76" s="97"/>
      <c r="H76" s="97" t="s">
        <v>780</v>
      </c>
      <c r="I76" s="97"/>
      <c r="J76" s="97" t="s">
        <v>778</v>
      </c>
    </row>
    <row r="77" spans="1:10" ht="15" customHeight="1">
      <c r="A77" s="96" t="s">
        <v>345</v>
      </c>
      <c r="B77" s="100" t="s">
        <v>802</v>
      </c>
      <c r="C77" s="106">
        <v>45798</v>
      </c>
      <c r="D77" s="106">
        <v>45798</v>
      </c>
      <c r="E77" s="100">
        <f>IF(AND(ISNUMBER(C82),ISNUMBER(D82)),D82-C82,"")</f>
        <v>0</v>
      </c>
      <c r="F77" s="101">
        <v>0</v>
      </c>
      <c r="G77" s="100"/>
      <c r="H77" s="100" t="s">
        <v>780</v>
      </c>
      <c r="I77" s="100"/>
      <c r="J77" s="100" t="s">
        <v>778</v>
      </c>
    </row>
    <row r="78" spans="1:10" ht="15" customHeight="1">
      <c r="A78" s="103" t="s">
        <v>264</v>
      </c>
      <c r="B78" s="97" t="s">
        <v>784</v>
      </c>
      <c r="C78" s="105">
        <v>45772</v>
      </c>
      <c r="D78" s="105">
        <v>45772</v>
      </c>
      <c r="E78" s="97">
        <f>IF(AND(ISNUMBER(C83),ISNUMBER(D83)),D83-C83,"")</f>
        <v>0</v>
      </c>
      <c r="F78" s="98">
        <v>1</v>
      </c>
      <c r="G78" s="97"/>
      <c r="H78" s="97" t="s">
        <v>748</v>
      </c>
      <c r="I78" s="97"/>
      <c r="J78" s="97" t="s">
        <v>735</v>
      </c>
    </row>
    <row r="79" spans="1:10" ht="15" customHeight="1">
      <c r="A79" s="103" t="s">
        <v>264</v>
      </c>
      <c r="B79" s="100" t="s">
        <v>785</v>
      </c>
      <c r="C79" s="106">
        <v>45783</v>
      </c>
      <c r="D79" s="106">
        <v>45783</v>
      </c>
      <c r="E79" s="100">
        <f>IF(AND(ISNUMBER(C84),ISNUMBER(D84)),D84-C84,"")</f>
        <v>0</v>
      </c>
      <c r="F79" s="101">
        <v>1</v>
      </c>
      <c r="G79" s="100"/>
      <c r="H79" s="100" t="s">
        <v>748</v>
      </c>
      <c r="I79" s="100"/>
      <c r="J79" s="100" t="s">
        <v>735</v>
      </c>
    </row>
    <row r="80" spans="1:10" ht="15" customHeight="1">
      <c r="A80" s="103" t="s">
        <v>264</v>
      </c>
      <c r="B80" s="97" t="s">
        <v>789</v>
      </c>
      <c r="C80" s="105">
        <v>45772</v>
      </c>
      <c r="D80" s="105">
        <v>45772</v>
      </c>
      <c r="E80" s="97">
        <f>IF(AND(ISNUMBER(C85),ISNUMBER(D85)),D85-C85,"")</f>
        <v>0</v>
      </c>
      <c r="F80" s="98">
        <v>1</v>
      </c>
      <c r="G80" s="97"/>
      <c r="H80" s="97" t="s">
        <v>748</v>
      </c>
      <c r="I80" s="97"/>
      <c r="J80" s="97" t="s">
        <v>735</v>
      </c>
    </row>
    <row r="81" spans="1:10" ht="15" customHeight="1">
      <c r="A81" s="103" t="s">
        <v>264</v>
      </c>
      <c r="B81" s="100" t="s">
        <v>790</v>
      </c>
      <c r="C81" s="106">
        <v>45722</v>
      </c>
      <c r="D81" s="106">
        <v>45722</v>
      </c>
      <c r="E81" s="100">
        <f>IF(AND(ISNUMBER(C86),ISNUMBER(D86)),D86-C86,"")</f>
        <v>0</v>
      </c>
      <c r="F81" s="101">
        <v>1</v>
      </c>
      <c r="G81" s="100"/>
      <c r="H81" s="100" t="s">
        <v>748</v>
      </c>
      <c r="I81" s="100"/>
      <c r="J81" s="100" t="s">
        <v>735</v>
      </c>
    </row>
    <row r="82" spans="1:10" ht="15" customHeight="1">
      <c r="A82" s="103" t="s">
        <v>264</v>
      </c>
      <c r="B82" s="97" t="s">
        <v>791</v>
      </c>
      <c r="C82" s="105">
        <v>45847</v>
      </c>
      <c r="D82" s="105">
        <v>45847</v>
      </c>
      <c r="E82" s="97">
        <f>IF(AND(ISNUMBER(C87),ISNUMBER(D87)),D87-C87,"")</f>
        <v>0</v>
      </c>
      <c r="F82" s="98">
        <v>0</v>
      </c>
      <c r="G82" s="97"/>
      <c r="H82" s="97" t="s">
        <v>780</v>
      </c>
      <c r="I82" s="97"/>
      <c r="J82" s="97" t="s">
        <v>778</v>
      </c>
    </row>
    <row r="83" spans="1:10" ht="15" customHeight="1">
      <c r="A83" s="103" t="s">
        <v>264</v>
      </c>
      <c r="B83" s="100" t="s">
        <v>792</v>
      </c>
      <c r="C83" s="106">
        <v>45847</v>
      </c>
      <c r="D83" s="106">
        <v>45847</v>
      </c>
      <c r="E83" s="100">
        <f>IF(AND(ISNUMBER(C88),ISNUMBER(D88)),D88-C88,"")</f>
        <v>0</v>
      </c>
      <c r="F83" s="101">
        <v>0</v>
      </c>
      <c r="G83" s="100"/>
      <c r="H83" s="100" t="s">
        <v>780</v>
      </c>
      <c r="I83" s="100"/>
      <c r="J83" s="100" t="s">
        <v>778</v>
      </c>
    </row>
    <row r="84" spans="1:10" ht="15" customHeight="1">
      <c r="A84" s="103" t="s">
        <v>264</v>
      </c>
      <c r="B84" s="97" t="s">
        <v>793</v>
      </c>
      <c r="C84" s="105">
        <v>45847</v>
      </c>
      <c r="D84" s="105">
        <v>45847</v>
      </c>
      <c r="E84" s="97">
        <f>IF(AND(ISNUMBER(C89),ISNUMBER(D89)),D89-C89,"")</f>
        <v>0</v>
      </c>
      <c r="F84" s="98">
        <v>0</v>
      </c>
      <c r="G84" s="97"/>
      <c r="H84" s="97" t="s">
        <v>780</v>
      </c>
      <c r="I84" s="97"/>
      <c r="J84" s="97" t="s">
        <v>778</v>
      </c>
    </row>
    <row r="85" spans="1:10" ht="15" customHeight="1">
      <c r="A85" s="103" t="s">
        <v>264</v>
      </c>
      <c r="B85" s="100" t="s">
        <v>794</v>
      </c>
      <c r="C85" s="106">
        <v>45847</v>
      </c>
      <c r="D85" s="106">
        <v>45847</v>
      </c>
      <c r="E85" s="100">
        <f>IF(AND(ISNUMBER(C90),ISNUMBER(D90)),D90-C90,"")</f>
        <v>0</v>
      </c>
      <c r="F85" s="101">
        <v>0</v>
      </c>
      <c r="G85" s="100"/>
      <c r="H85" s="100" t="s">
        <v>780</v>
      </c>
      <c r="I85" s="100"/>
      <c r="J85" s="100" t="s">
        <v>778</v>
      </c>
    </row>
    <row r="86" spans="1:10" ht="15" customHeight="1">
      <c r="A86" s="103" t="s">
        <v>264</v>
      </c>
      <c r="B86" s="97" t="s">
        <v>795</v>
      </c>
      <c r="C86" s="105">
        <v>45847</v>
      </c>
      <c r="D86" s="105">
        <v>45847</v>
      </c>
      <c r="E86" s="97">
        <f>IF(AND(ISNUMBER(C91),ISNUMBER(D91)),D91-C91,"")</f>
        <v>0</v>
      </c>
      <c r="F86" s="98">
        <v>0</v>
      </c>
      <c r="G86" s="97"/>
      <c r="H86" s="97" t="s">
        <v>780</v>
      </c>
      <c r="I86" s="97"/>
      <c r="J86" s="97" t="s">
        <v>778</v>
      </c>
    </row>
    <row r="87" spans="1:10" ht="15" customHeight="1">
      <c r="A87" s="103" t="s">
        <v>264</v>
      </c>
      <c r="B87" s="100" t="s">
        <v>792</v>
      </c>
      <c r="C87" s="106">
        <v>45847</v>
      </c>
      <c r="D87" s="106">
        <v>45847</v>
      </c>
      <c r="E87" s="100">
        <f>IF(AND(ISNUMBER(C92),ISNUMBER(D92)),D92-C92,"")</f>
        <v>0</v>
      </c>
      <c r="F87" s="101">
        <v>0</v>
      </c>
      <c r="G87" s="100"/>
      <c r="H87" s="100" t="s">
        <v>780</v>
      </c>
      <c r="I87" s="100"/>
      <c r="J87" s="100" t="s">
        <v>778</v>
      </c>
    </row>
    <row r="88" spans="1:10" ht="15" customHeight="1">
      <c r="A88" s="103" t="s">
        <v>264</v>
      </c>
      <c r="B88" s="97" t="s">
        <v>796</v>
      </c>
      <c r="C88" s="105">
        <v>45847</v>
      </c>
      <c r="D88" s="105">
        <v>45847</v>
      </c>
      <c r="E88" s="97">
        <f>IF(AND(ISNUMBER(C93),ISNUMBER(D93)),D93-C93,"")</f>
        <v>0</v>
      </c>
      <c r="F88" s="98">
        <v>0</v>
      </c>
      <c r="G88" s="97"/>
      <c r="H88" s="97" t="s">
        <v>780</v>
      </c>
      <c r="I88" s="97"/>
      <c r="J88" s="97" t="s">
        <v>778</v>
      </c>
    </row>
    <row r="89" spans="1:10" ht="15" customHeight="1">
      <c r="A89" s="103" t="s">
        <v>264</v>
      </c>
      <c r="B89" s="100" t="s">
        <v>794</v>
      </c>
      <c r="C89" s="106">
        <v>45847</v>
      </c>
      <c r="D89" s="106">
        <v>45847</v>
      </c>
      <c r="E89" s="100">
        <f>IF(AND(ISNUMBER(C94),ISNUMBER(D94)),D94-C94,"")</f>
        <v>0</v>
      </c>
      <c r="F89" s="101">
        <v>0</v>
      </c>
      <c r="G89" s="100"/>
      <c r="H89" s="100" t="s">
        <v>780</v>
      </c>
      <c r="I89" s="100"/>
      <c r="J89" s="100" t="s">
        <v>778</v>
      </c>
    </row>
    <row r="90" spans="1:10" ht="15" customHeight="1">
      <c r="A90" s="103" t="s">
        <v>264</v>
      </c>
      <c r="B90" s="97" t="s">
        <v>781</v>
      </c>
      <c r="C90" s="105">
        <v>45847</v>
      </c>
      <c r="D90" s="105">
        <v>45847</v>
      </c>
      <c r="E90" s="97">
        <f>IF(AND(ISNUMBER(C95),ISNUMBER(D95)),D95-C95,"")</f>
        <v>0</v>
      </c>
      <c r="F90" s="98">
        <v>0</v>
      </c>
      <c r="G90" s="97"/>
      <c r="H90" s="97" t="s">
        <v>780</v>
      </c>
      <c r="I90" s="97"/>
      <c r="J90" s="97" t="s">
        <v>778</v>
      </c>
    </row>
    <row r="91" spans="1:10" ht="15" customHeight="1">
      <c r="A91" s="103" t="s">
        <v>264</v>
      </c>
      <c r="B91" s="100" t="s">
        <v>803</v>
      </c>
      <c r="C91" s="106">
        <v>45847</v>
      </c>
      <c r="D91" s="106">
        <v>45847</v>
      </c>
      <c r="E91" s="100">
        <f>IF(AND(ISNUMBER(C96),ISNUMBER(D96)),D96-C96,"")</f>
        <v>0</v>
      </c>
      <c r="F91" s="101">
        <v>0</v>
      </c>
      <c r="G91" s="100"/>
      <c r="H91" s="100" t="s">
        <v>780</v>
      </c>
      <c r="I91" s="100"/>
      <c r="J91" s="100" t="s">
        <v>778</v>
      </c>
    </row>
    <row r="92" spans="1:10" ht="15" customHeight="1">
      <c r="A92" s="103" t="s">
        <v>311</v>
      </c>
      <c r="B92" s="97" t="s">
        <v>784</v>
      </c>
      <c r="C92" s="105">
        <v>45755</v>
      </c>
      <c r="D92" s="105">
        <v>45755</v>
      </c>
      <c r="E92" s="97">
        <f>IF(AND(ISNUMBER(C97),ISNUMBER(D97)),D97-C97,"")</f>
        <v>0</v>
      </c>
      <c r="F92" s="98">
        <v>1</v>
      </c>
      <c r="G92" s="97"/>
      <c r="H92" s="97" t="s">
        <v>748</v>
      </c>
      <c r="I92" s="97"/>
      <c r="J92" s="97" t="s">
        <v>735</v>
      </c>
    </row>
    <row r="93" spans="1:10" ht="15" customHeight="1">
      <c r="A93" s="103" t="s">
        <v>311</v>
      </c>
      <c r="B93" s="100" t="s">
        <v>785</v>
      </c>
      <c r="C93" s="106">
        <v>45763</v>
      </c>
      <c r="D93" s="106">
        <v>45763</v>
      </c>
      <c r="E93" s="100">
        <f>IF(AND(ISNUMBER(C98),ISNUMBER(D98)),D98-C98,"")</f>
        <v>0</v>
      </c>
      <c r="F93" s="101">
        <v>1</v>
      </c>
      <c r="G93" s="100"/>
      <c r="H93" s="100" t="s">
        <v>748</v>
      </c>
      <c r="I93" s="100"/>
      <c r="J93" s="100" t="s">
        <v>735</v>
      </c>
    </row>
    <row r="94" spans="1:10" ht="15" customHeight="1">
      <c r="A94" s="103" t="s">
        <v>311</v>
      </c>
      <c r="B94" s="97" t="s">
        <v>789</v>
      </c>
      <c r="C94" s="105">
        <v>45755</v>
      </c>
      <c r="D94" s="105">
        <v>45755</v>
      </c>
      <c r="E94" s="97">
        <f>IF(AND(ISNUMBER(C99),ISNUMBER(D99)),D99-C99,"")</f>
        <v>0</v>
      </c>
      <c r="F94" s="98">
        <v>1</v>
      </c>
      <c r="G94" s="97"/>
      <c r="H94" s="97" t="s">
        <v>748</v>
      </c>
      <c r="I94" s="97"/>
      <c r="J94" s="97" t="s">
        <v>735</v>
      </c>
    </row>
    <row r="95" spans="1:10" ht="15" customHeight="1">
      <c r="A95" s="103" t="s">
        <v>311</v>
      </c>
      <c r="B95" s="100" t="s">
        <v>790</v>
      </c>
      <c r="C95" s="106">
        <v>45761</v>
      </c>
      <c r="D95" s="106">
        <v>45761</v>
      </c>
      <c r="E95" s="100">
        <f>IF(AND(ISNUMBER(C100),ISNUMBER(D100)),D100-C100,"")</f>
        <v>0</v>
      </c>
      <c r="F95" s="101">
        <v>1</v>
      </c>
      <c r="G95" s="100"/>
      <c r="H95" s="100" t="s">
        <v>748</v>
      </c>
      <c r="I95" s="100"/>
      <c r="J95" s="100" t="s">
        <v>735</v>
      </c>
    </row>
    <row r="96" spans="1:10" ht="15" customHeight="1">
      <c r="A96" s="103" t="s">
        <v>311</v>
      </c>
      <c r="B96" s="97" t="s">
        <v>791</v>
      </c>
      <c r="C96" s="105">
        <v>45828</v>
      </c>
      <c r="D96" s="105">
        <v>45828</v>
      </c>
      <c r="E96" s="97">
        <f>IF(AND(ISNUMBER(C101),ISNUMBER(D101)),D101-C101,"")</f>
        <v>0</v>
      </c>
      <c r="F96" s="98">
        <v>0</v>
      </c>
      <c r="G96" s="97"/>
      <c r="H96" s="97" t="s">
        <v>780</v>
      </c>
      <c r="I96" s="97"/>
      <c r="J96" s="97" t="s">
        <v>778</v>
      </c>
    </row>
    <row r="97" spans="1:10" ht="15" customHeight="1">
      <c r="A97" s="103" t="s">
        <v>311</v>
      </c>
      <c r="B97" s="100" t="s">
        <v>792</v>
      </c>
      <c r="C97" s="106">
        <v>45828</v>
      </c>
      <c r="D97" s="106">
        <v>45828</v>
      </c>
      <c r="E97" s="100">
        <f>IF(AND(ISNUMBER(C102),ISNUMBER(D102)),D102-C102,"")</f>
        <v>0</v>
      </c>
      <c r="F97" s="101">
        <v>0</v>
      </c>
      <c r="G97" s="100"/>
      <c r="H97" s="100" t="s">
        <v>780</v>
      </c>
      <c r="I97" s="100"/>
      <c r="J97" s="100" t="s">
        <v>778</v>
      </c>
    </row>
    <row r="98" spans="1:10" ht="15" customHeight="1">
      <c r="A98" s="103" t="s">
        <v>311</v>
      </c>
      <c r="B98" s="97" t="s">
        <v>793</v>
      </c>
      <c r="C98" s="105">
        <v>45828</v>
      </c>
      <c r="D98" s="105">
        <v>45828</v>
      </c>
      <c r="E98" s="97">
        <f>IF(AND(ISNUMBER(C103),ISNUMBER(D103)),D103-C103,"")</f>
        <v>0</v>
      </c>
      <c r="F98" s="98">
        <v>0</v>
      </c>
      <c r="G98" s="97"/>
      <c r="H98" s="97" t="s">
        <v>780</v>
      </c>
      <c r="I98" s="97"/>
      <c r="J98" s="97" t="s">
        <v>778</v>
      </c>
    </row>
    <row r="99" spans="1:10" ht="15" customHeight="1">
      <c r="A99" s="103" t="s">
        <v>311</v>
      </c>
      <c r="B99" s="100" t="s">
        <v>794</v>
      </c>
      <c r="C99" s="106">
        <v>45828</v>
      </c>
      <c r="D99" s="106">
        <v>45828</v>
      </c>
      <c r="E99" s="100">
        <f>IF(AND(ISNUMBER(C104),ISNUMBER(D104)),D104-C104,"")</f>
        <v>0</v>
      </c>
      <c r="F99" s="101">
        <v>0</v>
      </c>
      <c r="G99" s="100"/>
      <c r="H99" s="100" t="s">
        <v>780</v>
      </c>
      <c r="I99" s="100"/>
      <c r="J99" s="100" t="s">
        <v>778</v>
      </c>
    </row>
    <row r="100" spans="1:10" ht="15" customHeight="1">
      <c r="A100" s="103" t="s">
        <v>311</v>
      </c>
      <c r="B100" s="97" t="s">
        <v>402</v>
      </c>
      <c r="C100" s="105">
        <v>45817</v>
      </c>
      <c r="D100" s="105">
        <v>45817</v>
      </c>
      <c r="E100" s="97">
        <f>IF(AND(ISNUMBER(C105),ISNUMBER(D105)),D105-C105,"")</f>
        <v>0</v>
      </c>
      <c r="F100" s="98">
        <v>0</v>
      </c>
      <c r="G100" s="97"/>
      <c r="H100" s="97" t="s">
        <v>780</v>
      </c>
      <c r="I100" s="97"/>
      <c r="J100" s="97" t="s">
        <v>778</v>
      </c>
    </row>
    <row r="101" spans="1:10" ht="15" customHeight="1">
      <c r="A101" s="103" t="s">
        <v>311</v>
      </c>
      <c r="B101" s="100" t="s">
        <v>795</v>
      </c>
      <c r="C101" s="106">
        <v>45828</v>
      </c>
      <c r="D101" s="106">
        <v>45828</v>
      </c>
      <c r="E101" s="100">
        <f>IF(AND(ISNUMBER(C106),ISNUMBER(D106)),D106-C106,"")</f>
        <v>0</v>
      </c>
      <c r="F101" s="101">
        <v>0</v>
      </c>
      <c r="G101" s="100"/>
      <c r="H101" s="100" t="s">
        <v>780</v>
      </c>
      <c r="I101" s="100"/>
      <c r="J101" s="100" t="s">
        <v>778</v>
      </c>
    </row>
    <row r="102" spans="1:10" ht="15" customHeight="1">
      <c r="A102" s="103" t="s">
        <v>311</v>
      </c>
      <c r="B102" s="97" t="s">
        <v>792</v>
      </c>
      <c r="C102" s="105">
        <v>45828</v>
      </c>
      <c r="D102" s="105">
        <v>45828</v>
      </c>
      <c r="E102" s="97">
        <f>IF(AND(ISNUMBER(C107),ISNUMBER(D107)),D107-C107,"")</f>
        <v>0</v>
      </c>
      <c r="F102" s="98">
        <v>0</v>
      </c>
      <c r="G102" s="97"/>
      <c r="H102" s="97" t="s">
        <v>780</v>
      </c>
      <c r="I102" s="97"/>
      <c r="J102" s="97" t="s">
        <v>778</v>
      </c>
    </row>
    <row r="103" spans="1:10" ht="15" customHeight="1">
      <c r="A103" s="103" t="s">
        <v>311</v>
      </c>
      <c r="B103" s="100" t="s">
        <v>796</v>
      </c>
      <c r="C103" s="106">
        <v>45828</v>
      </c>
      <c r="D103" s="106">
        <v>45828</v>
      </c>
      <c r="E103" s="100">
        <f>IF(AND(ISNUMBER(C108),ISNUMBER(D108)),D108-C108,"")</f>
        <v>0</v>
      </c>
      <c r="F103" s="101">
        <v>0</v>
      </c>
      <c r="G103" s="100"/>
      <c r="H103" s="100" t="s">
        <v>780</v>
      </c>
      <c r="I103" s="100"/>
      <c r="J103" s="100" t="s">
        <v>778</v>
      </c>
    </row>
    <row r="104" spans="1:10" ht="15" customHeight="1">
      <c r="A104" s="103" t="s">
        <v>311</v>
      </c>
      <c r="B104" s="97" t="s">
        <v>794</v>
      </c>
      <c r="C104" s="105">
        <v>45828</v>
      </c>
      <c r="D104" s="105">
        <v>45828</v>
      </c>
      <c r="E104" s="97">
        <f>IF(AND(ISNUMBER(C109),ISNUMBER(D109)),D109-C109,"")</f>
        <v>0</v>
      </c>
      <c r="F104" s="98">
        <v>0</v>
      </c>
      <c r="G104" s="97"/>
      <c r="H104" s="97" t="s">
        <v>780</v>
      </c>
      <c r="I104" s="97"/>
      <c r="J104" s="97" t="s">
        <v>778</v>
      </c>
    </row>
    <row r="105" spans="1:10" ht="15" customHeight="1">
      <c r="A105" s="103" t="s">
        <v>311</v>
      </c>
      <c r="B105" s="100" t="s">
        <v>781</v>
      </c>
      <c r="C105" s="106">
        <v>45828</v>
      </c>
      <c r="D105" s="106">
        <v>45828</v>
      </c>
      <c r="E105" s="100">
        <f>IF(AND(ISNUMBER(C110),ISNUMBER(D110)),D110-C110,"")</f>
        <v>0</v>
      </c>
      <c r="F105" s="101">
        <v>0</v>
      </c>
      <c r="G105" s="100"/>
      <c r="H105" s="100" t="s">
        <v>780</v>
      </c>
      <c r="I105" s="100"/>
      <c r="J105" s="100" t="s">
        <v>778</v>
      </c>
    </row>
    <row r="106" spans="1:10" ht="15" customHeight="1">
      <c r="A106" s="103" t="s">
        <v>311</v>
      </c>
      <c r="B106" s="97" t="s">
        <v>803</v>
      </c>
      <c r="C106" s="105">
        <v>45828</v>
      </c>
      <c r="D106" s="105">
        <v>45828</v>
      </c>
      <c r="E106" s="97">
        <f>IF(AND(ISNUMBER(C111),ISNUMBER(D111)),D111-C111,"")</f>
        <v>0</v>
      </c>
      <c r="F106" s="98">
        <v>0</v>
      </c>
      <c r="G106" s="97"/>
      <c r="H106" s="97" t="s">
        <v>780</v>
      </c>
      <c r="I106" s="97"/>
      <c r="J106" s="97" t="s">
        <v>778</v>
      </c>
    </row>
    <row r="107" spans="1:10" ht="15" customHeight="1">
      <c r="A107" s="96" t="s">
        <v>350</v>
      </c>
      <c r="B107" s="100" t="s">
        <v>784</v>
      </c>
      <c r="C107" s="106">
        <v>45755</v>
      </c>
      <c r="D107" s="106">
        <v>45755</v>
      </c>
      <c r="E107" s="100">
        <f>IF(AND(ISNUMBER(C112),ISNUMBER(D112)),D112-C112,"")</f>
        <v>0</v>
      </c>
      <c r="F107" s="101">
        <v>1</v>
      </c>
      <c r="G107" s="100"/>
      <c r="H107" s="100" t="s">
        <v>748</v>
      </c>
      <c r="I107" s="100"/>
      <c r="J107" s="100" t="s">
        <v>735</v>
      </c>
    </row>
    <row r="108" spans="1:10" ht="15" customHeight="1">
      <c r="A108" s="96" t="s">
        <v>350</v>
      </c>
      <c r="B108" s="97" t="s">
        <v>785</v>
      </c>
      <c r="C108" s="105">
        <v>45763</v>
      </c>
      <c r="D108" s="105">
        <v>45763</v>
      </c>
      <c r="E108" s="97">
        <f>IF(AND(ISNUMBER(C113),ISNUMBER(D113)),D113-C113,"")</f>
        <v>0</v>
      </c>
      <c r="F108" s="98">
        <v>1</v>
      </c>
      <c r="G108" s="97"/>
      <c r="H108" s="97" t="s">
        <v>748</v>
      </c>
      <c r="I108" s="97"/>
      <c r="J108" s="97" t="s">
        <v>735</v>
      </c>
    </row>
    <row r="109" spans="1:10" ht="15" customHeight="1">
      <c r="A109" s="96" t="s">
        <v>350</v>
      </c>
      <c r="B109" s="100" t="s">
        <v>789</v>
      </c>
      <c r="C109" s="106">
        <v>45716</v>
      </c>
      <c r="D109" s="106">
        <v>45716</v>
      </c>
      <c r="E109" s="100">
        <f>IF(AND(ISNUMBER(C114),ISNUMBER(D114)),D114-C114,"")</f>
        <v>0</v>
      </c>
      <c r="F109" s="101">
        <v>1</v>
      </c>
      <c r="G109" s="100"/>
      <c r="H109" s="100" t="s">
        <v>748</v>
      </c>
      <c r="I109" s="100"/>
      <c r="J109" s="100" t="s">
        <v>735</v>
      </c>
    </row>
    <row r="110" spans="1:10" ht="15" customHeight="1">
      <c r="A110" s="96" t="s">
        <v>350</v>
      </c>
      <c r="B110" s="97" t="s">
        <v>790</v>
      </c>
      <c r="C110" s="105">
        <v>45722</v>
      </c>
      <c r="D110" s="105">
        <v>45722</v>
      </c>
      <c r="E110" s="97">
        <f>IF(AND(ISNUMBER(C115),ISNUMBER(D115)),D115-C115,"")</f>
        <v>0</v>
      </c>
      <c r="F110" s="98">
        <v>1</v>
      </c>
      <c r="G110" s="97"/>
      <c r="H110" s="97" t="s">
        <v>748</v>
      </c>
      <c r="I110" s="97"/>
      <c r="J110" s="97" t="s">
        <v>735</v>
      </c>
    </row>
    <row r="111" spans="1:10" ht="15" customHeight="1">
      <c r="A111" s="96" t="s">
        <v>350</v>
      </c>
      <c r="B111" s="100" t="s">
        <v>791</v>
      </c>
      <c r="C111" s="106">
        <v>45828</v>
      </c>
      <c r="D111" s="106">
        <v>45828</v>
      </c>
      <c r="E111" s="100">
        <f>IF(AND(ISNUMBER(C116),ISNUMBER(D116)),D116-C116,"")</f>
        <v>0</v>
      </c>
      <c r="F111" s="101">
        <v>0</v>
      </c>
      <c r="G111" s="100"/>
      <c r="H111" s="100" t="s">
        <v>780</v>
      </c>
      <c r="I111" s="100"/>
      <c r="J111" s="100" t="s">
        <v>778</v>
      </c>
    </row>
    <row r="112" spans="1:10" ht="15" customHeight="1">
      <c r="A112" s="96" t="s">
        <v>350</v>
      </c>
      <c r="B112" s="97" t="s">
        <v>792</v>
      </c>
      <c r="C112" s="105">
        <v>45828</v>
      </c>
      <c r="D112" s="105">
        <v>45828</v>
      </c>
      <c r="E112" s="97">
        <f>IF(AND(ISNUMBER(C117),ISNUMBER(D117)),D117-C117,"")</f>
        <v>0</v>
      </c>
      <c r="F112" s="98">
        <v>0</v>
      </c>
      <c r="G112" s="97"/>
      <c r="H112" s="97" t="s">
        <v>780</v>
      </c>
      <c r="I112" s="97"/>
      <c r="J112" s="97" t="s">
        <v>778</v>
      </c>
    </row>
    <row r="113" spans="1:10" ht="15" customHeight="1">
      <c r="A113" s="96" t="s">
        <v>350</v>
      </c>
      <c r="B113" s="100" t="s">
        <v>793</v>
      </c>
      <c r="C113" s="106">
        <v>45828</v>
      </c>
      <c r="D113" s="106">
        <v>45828</v>
      </c>
      <c r="E113" s="100">
        <f>IF(AND(ISNUMBER(C118),ISNUMBER(D118)),D118-C118,"")</f>
        <v>0</v>
      </c>
      <c r="F113" s="101">
        <v>0</v>
      </c>
      <c r="G113" s="100"/>
      <c r="H113" s="100" t="s">
        <v>780</v>
      </c>
      <c r="I113" s="100"/>
      <c r="J113" s="100" t="s">
        <v>778</v>
      </c>
    </row>
    <row r="114" spans="1:10" ht="15" customHeight="1">
      <c r="A114" s="96" t="s">
        <v>350</v>
      </c>
      <c r="B114" s="97" t="s">
        <v>794</v>
      </c>
      <c r="C114" s="105">
        <v>45828</v>
      </c>
      <c r="D114" s="105">
        <v>45828</v>
      </c>
      <c r="E114" s="97">
        <f>IF(AND(ISNUMBER(C119),ISNUMBER(D119)),D119-C119,"")</f>
        <v>0</v>
      </c>
      <c r="F114" s="98">
        <v>0</v>
      </c>
      <c r="G114" s="97"/>
      <c r="H114" s="97" t="s">
        <v>780</v>
      </c>
      <c r="I114" s="97"/>
      <c r="J114" s="97" t="s">
        <v>778</v>
      </c>
    </row>
    <row r="115" spans="1:10" ht="15" customHeight="1">
      <c r="A115" s="96" t="s">
        <v>350</v>
      </c>
      <c r="B115" s="100" t="s">
        <v>402</v>
      </c>
      <c r="C115" s="106">
        <v>45817</v>
      </c>
      <c r="D115" s="106">
        <v>45817</v>
      </c>
      <c r="E115" s="100">
        <f>IF(AND(ISNUMBER(C120),ISNUMBER(D120)),D120-C120,"")</f>
        <v>0</v>
      </c>
      <c r="F115" s="101">
        <v>0</v>
      </c>
      <c r="G115" s="100"/>
      <c r="H115" s="100" t="s">
        <v>780</v>
      </c>
      <c r="I115" s="100"/>
      <c r="J115" s="100" t="s">
        <v>778</v>
      </c>
    </row>
    <row r="116" spans="1:10" ht="15" customHeight="1">
      <c r="A116" s="96" t="s">
        <v>350</v>
      </c>
      <c r="B116" s="97" t="s">
        <v>795</v>
      </c>
      <c r="C116" s="105">
        <v>45828</v>
      </c>
      <c r="D116" s="105">
        <v>45828</v>
      </c>
      <c r="E116" s="97">
        <f>IF(AND(ISNUMBER(C121),ISNUMBER(D121)),D121-C121,"")</f>
        <v>0</v>
      </c>
      <c r="F116" s="98">
        <v>0</v>
      </c>
      <c r="G116" s="97"/>
      <c r="H116" s="97" t="s">
        <v>780</v>
      </c>
      <c r="I116" s="97"/>
      <c r="J116" s="97" t="s">
        <v>778</v>
      </c>
    </row>
    <row r="117" spans="1:10" ht="15" customHeight="1">
      <c r="A117" s="96" t="s">
        <v>350</v>
      </c>
      <c r="B117" s="100" t="s">
        <v>792</v>
      </c>
      <c r="C117" s="106">
        <v>45828</v>
      </c>
      <c r="D117" s="106">
        <v>45828</v>
      </c>
      <c r="E117" s="100">
        <f>IF(AND(ISNUMBER(C122),ISNUMBER(D122)),D122-C122,"")</f>
        <v>1</v>
      </c>
      <c r="F117" s="101">
        <v>0</v>
      </c>
      <c r="G117" s="100"/>
      <c r="H117" s="100" t="s">
        <v>780</v>
      </c>
      <c r="I117" s="100"/>
      <c r="J117" s="100" t="s">
        <v>778</v>
      </c>
    </row>
    <row r="118" spans="1:10" ht="15" customHeight="1">
      <c r="A118" s="96" t="s">
        <v>350</v>
      </c>
      <c r="B118" s="97" t="s">
        <v>796</v>
      </c>
      <c r="C118" s="105">
        <v>45828</v>
      </c>
      <c r="D118" s="105">
        <v>45828</v>
      </c>
      <c r="E118" s="97">
        <f>IF(AND(ISNUMBER(C123),ISNUMBER(D123)),D123-C123,"")</f>
        <v>4</v>
      </c>
      <c r="F118" s="98">
        <v>0</v>
      </c>
      <c r="G118" s="97"/>
      <c r="H118" s="97" t="s">
        <v>780</v>
      </c>
      <c r="I118" s="97"/>
      <c r="J118" s="97" t="s">
        <v>778</v>
      </c>
    </row>
    <row r="119" spans="1:10" ht="15" customHeight="1">
      <c r="A119" s="96" t="s">
        <v>350</v>
      </c>
      <c r="B119" s="100" t="s">
        <v>794</v>
      </c>
      <c r="C119" s="106">
        <v>45828</v>
      </c>
      <c r="D119" s="106">
        <v>45828</v>
      </c>
      <c r="E119" s="100">
        <f>IF(AND(ISNUMBER(C124),ISNUMBER(D124)),D124-C124,"")</f>
        <v>4</v>
      </c>
      <c r="F119" s="101">
        <v>0</v>
      </c>
      <c r="G119" s="100"/>
      <c r="H119" s="100" t="s">
        <v>780</v>
      </c>
      <c r="I119" s="100"/>
      <c r="J119" s="100" t="s">
        <v>778</v>
      </c>
    </row>
    <row r="120" spans="1:10" ht="15" customHeight="1">
      <c r="A120" s="96" t="s">
        <v>350</v>
      </c>
      <c r="B120" s="97" t="s">
        <v>781</v>
      </c>
      <c r="C120" s="105">
        <v>45828</v>
      </c>
      <c r="D120" s="105">
        <v>45828</v>
      </c>
      <c r="E120" s="97">
        <f>IF(AND(ISNUMBER(C125),ISNUMBER(D125)),D125-C125,"")</f>
        <v>22</v>
      </c>
      <c r="F120" s="98">
        <v>0</v>
      </c>
      <c r="G120" s="97"/>
      <c r="H120" s="97" t="s">
        <v>780</v>
      </c>
      <c r="I120" s="97"/>
      <c r="J120" s="97" t="s">
        <v>778</v>
      </c>
    </row>
    <row r="121" spans="1:10" ht="15" customHeight="1">
      <c r="A121" s="96" t="s">
        <v>350</v>
      </c>
      <c r="B121" s="100" t="s">
        <v>803</v>
      </c>
      <c r="C121" s="106">
        <v>45828</v>
      </c>
      <c r="D121" s="106">
        <v>45828</v>
      </c>
      <c r="E121" s="100">
        <f>IF(AND(ISNUMBER(C126),ISNUMBER(D126)),D126-C126,"")</f>
        <v>62</v>
      </c>
      <c r="F121" s="101">
        <v>0</v>
      </c>
      <c r="G121" s="100"/>
      <c r="H121" s="100" t="s">
        <v>780</v>
      </c>
      <c r="I121" s="100"/>
      <c r="J121" s="100" t="s">
        <v>778</v>
      </c>
    </row>
    <row r="122" spans="1:10" ht="15" customHeight="1">
      <c r="A122" s="104" t="s">
        <v>358</v>
      </c>
      <c r="B122" s="104" t="s">
        <v>804</v>
      </c>
      <c r="C122" s="107">
        <v>45950</v>
      </c>
      <c r="D122" s="107">
        <v>45951</v>
      </c>
      <c r="E122" s="104">
        <f>D127-C127</f>
        <v>7</v>
      </c>
      <c r="F122" s="108">
        <v>1</v>
      </c>
      <c r="G122" s="104"/>
      <c r="H122" s="104"/>
      <c r="I122" s="104"/>
      <c r="J122" s="104" t="s">
        <v>735</v>
      </c>
    </row>
    <row r="123" spans="1:10" ht="15" customHeight="1">
      <c r="A123" s="104" t="s">
        <v>358</v>
      </c>
      <c r="B123" s="104" t="s">
        <v>805</v>
      </c>
      <c r="C123" s="107">
        <v>45950</v>
      </c>
      <c r="D123" s="107">
        <v>45954</v>
      </c>
      <c r="E123" s="104">
        <f>D128-C128</f>
        <v>173</v>
      </c>
      <c r="F123" s="108">
        <v>0.75</v>
      </c>
      <c r="G123" s="104"/>
      <c r="H123" s="104"/>
      <c r="I123" s="104"/>
      <c r="J123" s="104" t="s">
        <v>778</v>
      </c>
    </row>
    <row r="124" spans="1:10" ht="15" customHeight="1">
      <c r="A124" s="104" t="s">
        <v>358</v>
      </c>
      <c r="B124" s="104" t="s">
        <v>806</v>
      </c>
      <c r="C124" s="107">
        <v>45950</v>
      </c>
      <c r="D124" s="107">
        <v>45954</v>
      </c>
      <c r="E124" s="104">
        <f>D129-C129</f>
        <v>0</v>
      </c>
      <c r="F124" s="108">
        <v>0.06</v>
      </c>
      <c r="G124" s="104"/>
      <c r="H124" s="104"/>
      <c r="I124" s="104"/>
      <c r="J124" s="104" t="s">
        <v>778</v>
      </c>
    </row>
    <row r="125" spans="1:10" ht="15" customHeight="1">
      <c r="A125" s="104" t="s">
        <v>358</v>
      </c>
      <c r="B125" s="104" t="s">
        <v>807</v>
      </c>
      <c r="C125" s="107">
        <v>45951</v>
      </c>
      <c r="D125" s="107">
        <v>45973</v>
      </c>
      <c r="E125" s="104">
        <f>D130-C130</f>
        <v>0</v>
      </c>
      <c r="F125" s="108">
        <v>1</v>
      </c>
      <c r="G125" s="104"/>
      <c r="H125" s="104"/>
      <c r="I125" s="104"/>
      <c r="J125" s="104" t="s">
        <v>735</v>
      </c>
    </row>
    <row r="126" spans="1:10" ht="15" customHeight="1">
      <c r="A126" s="104" t="s">
        <v>358</v>
      </c>
      <c r="B126" s="104" t="s">
        <v>808</v>
      </c>
      <c r="C126" s="107">
        <v>45951</v>
      </c>
      <c r="D126" s="107">
        <v>46013</v>
      </c>
      <c r="E126" s="104">
        <f>D131-C131</f>
        <v>0</v>
      </c>
      <c r="F126" s="108">
        <v>0</v>
      </c>
      <c r="G126" s="104"/>
      <c r="H126" s="104"/>
      <c r="I126" s="104"/>
      <c r="J126" s="104" t="s">
        <v>778</v>
      </c>
    </row>
    <row r="127" spans="1:10" ht="15" customHeight="1">
      <c r="A127" s="104" t="s">
        <v>358</v>
      </c>
      <c r="B127" s="104" t="s">
        <v>786</v>
      </c>
      <c r="C127" s="107">
        <v>46013</v>
      </c>
      <c r="D127" s="107">
        <v>46020</v>
      </c>
      <c r="E127" s="104">
        <f>D132-C132</f>
        <v>0</v>
      </c>
      <c r="F127" s="108">
        <v>0</v>
      </c>
      <c r="G127" s="104"/>
      <c r="H127" s="104"/>
      <c r="I127" s="104"/>
      <c r="J127" s="104" t="s">
        <v>778</v>
      </c>
    </row>
    <row r="128" spans="1:10" ht="15" customHeight="1">
      <c r="A128" s="104" t="s">
        <v>361</v>
      </c>
      <c r="B128" s="104" t="s">
        <v>809</v>
      </c>
      <c r="C128" s="107">
        <v>45952</v>
      </c>
      <c r="D128" s="107">
        <v>46125</v>
      </c>
      <c r="E128" s="104">
        <f>D133-C133</f>
        <v>8</v>
      </c>
      <c r="F128" s="108">
        <v>0.71</v>
      </c>
      <c r="G128" s="104"/>
      <c r="H128" s="104"/>
      <c r="I128" s="104"/>
      <c r="J128" s="104" t="s">
        <v>778</v>
      </c>
    </row>
    <row r="129" spans="1:10" ht="15" customHeight="1">
      <c r="A129" s="104" t="s">
        <v>313</v>
      </c>
      <c r="B129" s="104" t="s">
        <v>784</v>
      </c>
      <c r="C129" s="107">
        <v>45755</v>
      </c>
      <c r="D129" s="107">
        <v>45755</v>
      </c>
      <c r="E129" s="104">
        <f>D134-C134</f>
        <v>57</v>
      </c>
      <c r="F129" s="108">
        <v>1</v>
      </c>
      <c r="G129" s="104"/>
      <c r="H129" s="104"/>
      <c r="I129" s="104"/>
      <c r="J129" s="104" t="s">
        <v>735</v>
      </c>
    </row>
    <row r="130" spans="1:10" ht="15" customHeight="1">
      <c r="A130" s="104" t="s">
        <v>313</v>
      </c>
      <c r="B130" s="104" t="s">
        <v>785</v>
      </c>
      <c r="C130" s="107">
        <v>45763</v>
      </c>
      <c r="D130" s="107">
        <v>45763</v>
      </c>
      <c r="E130" s="104">
        <f>D135-C135</f>
        <v>44</v>
      </c>
      <c r="F130" s="108">
        <v>1</v>
      </c>
      <c r="G130" s="104"/>
      <c r="H130" s="104"/>
      <c r="I130" s="104"/>
      <c r="J130" s="104" t="s">
        <v>735</v>
      </c>
    </row>
    <row r="131" spans="1:10" ht="15" customHeight="1">
      <c r="A131" s="104" t="s">
        <v>313</v>
      </c>
      <c r="B131" s="104" t="s">
        <v>789</v>
      </c>
      <c r="C131" s="107">
        <v>45716</v>
      </c>
      <c r="D131" s="107">
        <v>45716</v>
      </c>
      <c r="E131" s="104">
        <f>D136-C136</f>
        <v>98</v>
      </c>
      <c r="F131" s="108">
        <v>1</v>
      </c>
      <c r="G131" s="104"/>
      <c r="H131" s="104"/>
      <c r="I131" s="104"/>
      <c r="J131" s="104" t="s">
        <v>735</v>
      </c>
    </row>
    <row r="132" spans="1:10" ht="15" customHeight="1">
      <c r="A132" s="104" t="s">
        <v>313</v>
      </c>
      <c r="B132" s="104" t="s">
        <v>790</v>
      </c>
      <c r="C132" s="107">
        <v>45722</v>
      </c>
      <c r="D132" s="107">
        <v>45722</v>
      </c>
      <c r="E132" s="104">
        <f>D137-C137</f>
        <v>112</v>
      </c>
      <c r="F132" s="108">
        <v>1</v>
      </c>
      <c r="G132" s="104"/>
      <c r="H132" s="104"/>
      <c r="I132" s="104"/>
      <c r="J132" s="104" t="s">
        <v>735</v>
      </c>
    </row>
    <row r="133" spans="1:10" ht="15" customHeight="1">
      <c r="A133" s="104" t="s">
        <v>313</v>
      </c>
      <c r="B133" s="104" t="s">
        <v>810</v>
      </c>
      <c r="C133" s="107">
        <v>45722</v>
      </c>
      <c r="D133" s="107">
        <v>45730</v>
      </c>
      <c r="E133" s="104">
        <f>D138-C138</f>
        <v>0</v>
      </c>
      <c r="F133" s="108">
        <v>1</v>
      </c>
      <c r="G133" s="104"/>
      <c r="H133" s="104"/>
      <c r="I133" s="104"/>
      <c r="J133" s="104" t="s">
        <v>735</v>
      </c>
    </row>
    <row r="134" spans="1:10" ht="15" customHeight="1">
      <c r="A134" s="104" t="s">
        <v>313</v>
      </c>
      <c r="B134" s="104" t="s">
        <v>798</v>
      </c>
      <c r="C134" s="107">
        <v>45775</v>
      </c>
      <c r="D134" s="107">
        <v>45832</v>
      </c>
      <c r="E134" s="104">
        <f>D139-C139</f>
        <v>1</v>
      </c>
      <c r="F134" s="108">
        <v>0.56000000000000005</v>
      </c>
      <c r="G134" s="104"/>
      <c r="H134" s="104"/>
      <c r="I134" s="104"/>
      <c r="J134" s="104" t="s">
        <v>778</v>
      </c>
    </row>
    <row r="135" spans="1:10" ht="15" customHeight="1">
      <c r="A135" s="104" t="s">
        <v>313</v>
      </c>
      <c r="B135" s="104" t="s">
        <v>811</v>
      </c>
      <c r="C135" s="107">
        <v>45763</v>
      </c>
      <c r="D135" s="107">
        <v>45807</v>
      </c>
      <c r="E135" s="104">
        <f>D140-C140</f>
        <v>4</v>
      </c>
      <c r="F135" s="108">
        <v>0</v>
      </c>
      <c r="G135" s="104"/>
      <c r="H135" s="104"/>
      <c r="I135" s="104"/>
      <c r="J135" s="104" t="s">
        <v>778</v>
      </c>
    </row>
    <row r="136" spans="1:10" ht="15" customHeight="1">
      <c r="A136" s="104" t="s">
        <v>313</v>
      </c>
      <c r="B136" s="104" t="s">
        <v>812</v>
      </c>
      <c r="C136" s="107">
        <v>45730</v>
      </c>
      <c r="D136" s="107">
        <v>45828</v>
      </c>
      <c r="E136" s="104">
        <f>D141-C141</f>
        <v>4</v>
      </c>
      <c r="F136" s="108">
        <v>0</v>
      </c>
      <c r="G136" s="104"/>
      <c r="H136" s="104"/>
      <c r="I136" s="104"/>
      <c r="J136" s="104" t="s">
        <v>778</v>
      </c>
    </row>
    <row r="137" spans="1:10" ht="15" customHeight="1">
      <c r="A137" s="104" t="s">
        <v>313</v>
      </c>
      <c r="B137" s="104" t="s">
        <v>813</v>
      </c>
      <c r="C137" s="107">
        <v>45716</v>
      </c>
      <c r="D137" s="107">
        <v>45828</v>
      </c>
      <c r="E137" s="104">
        <f>D142-C142</f>
        <v>22</v>
      </c>
      <c r="F137" s="108">
        <v>0</v>
      </c>
      <c r="G137" s="104"/>
      <c r="H137" s="104"/>
      <c r="I137" s="104"/>
      <c r="J137" s="104" t="s">
        <v>778</v>
      </c>
    </row>
    <row r="138" spans="1:10" ht="15" customHeight="1">
      <c r="A138" s="104" t="s">
        <v>313</v>
      </c>
      <c r="B138" s="104" t="s">
        <v>803</v>
      </c>
      <c r="C138" s="107">
        <v>45828</v>
      </c>
      <c r="D138" s="107">
        <v>45828</v>
      </c>
      <c r="E138" s="104">
        <f>D143-C143</f>
        <v>62</v>
      </c>
      <c r="F138" s="108">
        <v>0</v>
      </c>
      <c r="G138" s="104"/>
      <c r="H138" s="104"/>
      <c r="I138" s="104"/>
      <c r="J138" s="104" t="s">
        <v>778</v>
      </c>
    </row>
    <row r="139" spans="1:10" ht="15" customHeight="1">
      <c r="A139" s="104" t="s">
        <v>728</v>
      </c>
      <c r="B139" s="104" t="s">
        <v>804</v>
      </c>
      <c r="C139" s="107">
        <v>45950</v>
      </c>
      <c r="D139" s="107">
        <v>45951</v>
      </c>
      <c r="E139" s="104">
        <f>D144-C144</f>
        <v>7</v>
      </c>
      <c r="F139" s="108">
        <v>1</v>
      </c>
      <c r="G139" s="104"/>
      <c r="H139" s="104"/>
      <c r="I139" s="104"/>
      <c r="J139" s="104" t="s">
        <v>735</v>
      </c>
    </row>
    <row r="140" spans="1:10" ht="15" customHeight="1">
      <c r="A140" s="104" t="s">
        <v>728</v>
      </c>
      <c r="B140" s="104" t="s">
        <v>805</v>
      </c>
      <c r="C140" s="107">
        <v>45950</v>
      </c>
      <c r="D140" s="107">
        <v>45954</v>
      </c>
      <c r="E140" s="104">
        <f>D145-C145</f>
        <v>6</v>
      </c>
      <c r="F140" s="108">
        <v>0</v>
      </c>
      <c r="G140" s="104"/>
      <c r="H140" s="104"/>
      <c r="I140" s="104"/>
      <c r="J140" s="104" t="s">
        <v>778</v>
      </c>
    </row>
    <row r="141" spans="1:10" ht="15" customHeight="1">
      <c r="A141" s="104" t="s">
        <v>728</v>
      </c>
      <c r="B141" s="104" t="s">
        <v>806</v>
      </c>
      <c r="C141" s="107">
        <v>45950</v>
      </c>
      <c r="D141" s="107">
        <v>45954</v>
      </c>
      <c r="E141" s="104">
        <f>D146-C146</f>
        <v>1</v>
      </c>
      <c r="F141" s="108">
        <v>0</v>
      </c>
      <c r="G141" s="104"/>
      <c r="H141" s="104"/>
      <c r="I141" s="104"/>
      <c r="J141" s="104" t="s">
        <v>778</v>
      </c>
    </row>
    <row r="142" spans="1:10" ht="15" customHeight="1">
      <c r="A142" s="104" t="s">
        <v>728</v>
      </c>
      <c r="B142" s="104" t="s">
        <v>807</v>
      </c>
      <c r="C142" s="107">
        <v>45951</v>
      </c>
      <c r="D142" s="107">
        <v>45973</v>
      </c>
      <c r="E142" s="104">
        <f>D147-C147</f>
        <v>0</v>
      </c>
      <c r="F142" s="108">
        <v>0</v>
      </c>
      <c r="G142" s="104"/>
      <c r="H142" s="104"/>
      <c r="I142" s="104"/>
      <c r="J142" s="104" t="s">
        <v>778</v>
      </c>
    </row>
    <row r="143" spans="1:10" ht="15" customHeight="1">
      <c r="A143" s="104" t="s">
        <v>728</v>
      </c>
      <c r="B143" s="104" t="s">
        <v>808</v>
      </c>
      <c r="C143" s="107">
        <v>45951</v>
      </c>
      <c r="D143" s="107">
        <v>46013</v>
      </c>
      <c r="E143" s="104">
        <f>D148-C148</f>
        <v>1</v>
      </c>
      <c r="F143" s="108">
        <v>0</v>
      </c>
      <c r="G143" s="104"/>
      <c r="H143" s="104"/>
      <c r="I143" s="104"/>
      <c r="J143" s="104" t="s">
        <v>778</v>
      </c>
    </row>
    <row r="144" spans="1:10" ht="15" customHeight="1">
      <c r="A144" s="104" t="s">
        <v>728</v>
      </c>
      <c r="B144" s="104" t="s">
        <v>786</v>
      </c>
      <c r="C144" s="107">
        <v>46013</v>
      </c>
      <c r="D144" s="107">
        <v>46020</v>
      </c>
      <c r="E144" s="104">
        <f>D149-C149</f>
        <v>89</v>
      </c>
      <c r="F144" s="108">
        <v>0</v>
      </c>
      <c r="G144" s="104"/>
      <c r="H144" s="104"/>
      <c r="I144" s="104"/>
      <c r="J144" s="104" t="s">
        <v>778</v>
      </c>
    </row>
    <row r="145" spans="1:10" ht="15" customHeight="1">
      <c r="A145" s="104" t="s">
        <v>736</v>
      </c>
      <c r="B145" s="104" t="s">
        <v>814</v>
      </c>
      <c r="C145" s="107">
        <v>45716</v>
      </c>
      <c r="D145" s="107">
        <v>45722</v>
      </c>
      <c r="E145" s="104">
        <f>D150-C150</f>
        <v>0</v>
      </c>
      <c r="F145" s="108">
        <v>1</v>
      </c>
      <c r="G145" s="104"/>
      <c r="H145" s="104"/>
      <c r="I145" s="104"/>
      <c r="J145" s="104" t="s">
        <v>735</v>
      </c>
    </row>
    <row r="146" spans="1:10" ht="15" customHeight="1">
      <c r="A146" s="104" t="s">
        <v>371</v>
      </c>
      <c r="B146" s="104" t="s">
        <v>815</v>
      </c>
      <c r="C146" s="107">
        <v>45258</v>
      </c>
      <c r="D146" s="107">
        <v>45259</v>
      </c>
      <c r="E146" s="104">
        <f>D146-C146</f>
        <v>1</v>
      </c>
      <c r="F146" s="108">
        <v>1</v>
      </c>
      <c r="G146" s="104"/>
      <c r="H146" s="104"/>
      <c r="I146" s="104"/>
      <c r="J146" s="104" t="s">
        <v>735</v>
      </c>
    </row>
    <row r="147" spans="1:10" ht="15" customHeight="1">
      <c r="A147" s="104" t="s">
        <v>371</v>
      </c>
      <c r="B147" s="104" t="s">
        <v>816</v>
      </c>
      <c r="C147" s="107">
        <v>45259</v>
      </c>
      <c r="D147" s="107">
        <v>45259</v>
      </c>
      <c r="E147" s="104">
        <f>D147-C147</f>
        <v>0</v>
      </c>
      <c r="F147" s="108">
        <v>1</v>
      </c>
      <c r="G147" s="104"/>
      <c r="H147" s="104"/>
      <c r="I147" s="104"/>
      <c r="J147" s="104" t="s">
        <v>735</v>
      </c>
    </row>
    <row r="148" spans="1:10" ht="15" customHeight="1">
      <c r="A148" s="104" t="s">
        <v>371</v>
      </c>
      <c r="B148" s="104" t="s">
        <v>817</v>
      </c>
      <c r="C148" s="107">
        <v>45274</v>
      </c>
      <c r="D148" s="107">
        <v>45275</v>
      </c>
      <c r="E148" s="104">
        <f>D148-C148</f>
        <v>1</v>
      </c>
      <c r="F148" s="108">
        <v>1</v>
      </c>
      <c r="G148" s="104"/>
      <c r="H148" s="104"/>
      <c r="I148" s="104"/>
      <c r="J148" s="104" t="s">
        <v>735</v>
      </c>
    </row>
    <row r="149" spans="1:10" ht="15" customHeight="1">
      <c r="A149" s="104" t="s">
        <v>371</v>
      </c>
      <c r="B149" s="104" t="s">
        <v>818</v>
      </c>
      <c r="C149" s="107">
        <v>45259</v>
      </c>
      <c r="D149" s="107">
        <v>45348</v>
      </c>
      <c r="E149" s="104">
        <f>D149-C149</f>
        <v>89</v>
      </c>
      <c r="F149" s="108">
        <v>1</v>
      </c>
      <c r="G149" s="104"/>
      <c r="H149" s="104"/>
      <c r="I149" s="104"/>
      <c r="J149" s="104" t="s">
        <v>735</v>
      </c>
    </row>
    <row r="150" spans="1:10" ht="15" customHeight="1">
      <c r="A150" s="104" t="s">
        <v>371</v>
      </c>
      <c r="B150" s="104" t="s">
        <v>752</v>
      </c>
      <c r="C150" s="107">
        <v>45348</v>
      </c>
      <c r="D150" s="107">
        <v>45348</v>
      </c>
      <c r="E150" s="104">
        <f>D150-C150</f>
        <v>0</v>
      </c>
      <c r="F150" s="108">
        <v>1</v>
      </c>
      <c r="G150" s="104"/>
      <c r="H150" s="104"/>
      <c r="I150" s="104"/>
      <c r="J150" s="104" t="s">
        <v>735</v>
      </c>
    </row>
    <row r="151" spans="1:10" ht="15" customHeight="1">
      <c r="A151" s="104" t="s">
        <v>371</v>
      </c>
      <c r="B151" s="104" t="s">
        <v>819</v>
      </c>
      <c r="C151" s="107">
        <v>45259</v>
      </c>
      <c r="D151" s="107">
        <v>45401</v>
      </c>
      <c r="E151" s="104">
        <f>D151-C151</f>
        <v>142</v>
      </c>
      <c r="F151" s="108">
        <v>1</v>
      </c>
      <c r="G151" s="104"/>
      <c r="H151" s="104"/>
      <c r="I151" s="104"/>
      <c r="J151" s="104" t="s">
        <v>735</v>
      </c>
    </row>
    <row r="152" spans="1:10" ht="15" customHeight="1">
      <c r="A152" s="104" t="s">
        <v>371</v>
      </c>
      <c r="B152" s="104" t="s">
        <v>763</v>
      </c>
      <c r="C152" s="107">
        <v>45440</v>
      </c>
      <c r="D152" s="107">
        <v>45440</v>
      </c>
      <c r="E152" s="104">
        <f>D152-C152</f>
        <v>0</v>
      </c>
      <c r="F152" s="108">
        <v>1</v>
      </c>
      <c r="G152" s="104"/>
      <c r="H152" s="104"/>
      <c r="I152" s="104"/>
      <c r="J152" s="104" t="s">
        <v>735</v>
      </c>
    </row>
    <row r="153" spans="1:10" ht="15" customHeight="1">
      <c r="A153" s="104" t="s">
        <v>371</v>
      </c>
      <c r="B153" s="104" t="s">
        <v>820</v>
      </c>
      <c r="C153" s="107">
        <v>45440</v>
      </c>
      <c r="D153" s="107">
        <v>45440</v>
      </c>
      <c r="E153" s="104">
        <f>D153-C153</f>
        <v>0</v>
      </c>
      <c r="F153" s="108">
        <v>1</v>
      </c>
      <c r="G153" s="104"/>
      <c r="H153" s="104"/>
      <c r="I153" s="104"/>
      <c r="J153" s="104" t="s">
        <v>735</v>
      </c>
    </row>
  </sheetData>
  <mergeCells count="1">
    <mergeCell ref="A1:J1"/>
  </mergeCells>
  <dataValidations count="3">
    <dataValidation type="list" allowBlank="1" showErrorMessage="1" errorTitle="Dato fuera de lista" error="Valor no válido. Escoge una opción de la lista." sqref="A3:A700" xr:uid="{00000000-0002-0000-0800-000000000000}">
      <formula1>Lista_Proyectos</formula1>
      <formula2>0</formula2>
    </dataValidation>
    <dataValidation type="list" allowBlank="1" showErrorMessage="1" errorTitle="Dato fuera de lista" error="Valor no válido. Escoge una opción de la lista." sqref="H3:H700" xr:uid="{00000000-0002-0000-0800-000001000000}">
      <formula1>"Activo,En curso,Por Iniciar,Cerrado,END"</formula1>
      <formula2>0</formula2>
    </dataValidation>
    <dataValidation type="list" allowBlank="1" showErrorMessage="1" errorTitle="Dato fuera de lista" error="Valor no válido. Escoge una opción de la lista." sqref="J3:J700" xr:uid="{00000000-0002-0000-0800-000002000000}">
      <formula1>"Activo,Cerrado"</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4472C4"/>
  </sheetPr>
  <dimension ref="A1:C410"/>
  <sheetViews>
    <sheetView showGridLines="0" zoomScaleNormal="100" workbookViewId="0">
      <pane xSplit="1" ySplit="2" topLeftCell="B117" activePane="bottomRight" state="frozen"/>
      <selection pane="bottomRight"/>
      <selection pane="bottomLeft" activeCell="A117" sqref="A117"/>
      <selection pane="topRight" activeCell="B1" sqref="B1"/>
    </sheetView>
  </sheetViews>
  <sheetFormatPr defaultColWidth="8.7109375" defaultRowHeight="15"/>
  <cols>
    <col min="1" max="1" width="32" customWidth="1"/>
    <col min="2" max="2" width="14" customWidth="1"/>
    <col min="3" max="3" width="22" customWidth="1"/>
  </cols>
  <sheetData>
    <row r="1" spans="1:3" ht="21.75" customHeight="1">
      <c r="A1" s="156" t="s">
        <v>821</v>
      </c>
      <c r="B1" s="156"/>
      <c r="C1" s="156"/>
    </row>
    <row r="2" spans="1:3" ht="30" customHeight="1">
      <c r="A2" s="95" t="s">
        <v>120</v>
      </c>
      <c r="B2" s="95" t="s">
        <v>822</v>
      </c>
      <c r="C2" s="95" t="s">
        <v>823</v>
      </c>
    </row>
    <row r="3" spans="1:3" ht="15" customHeight="1">
      <c r="A3" s="103" t="s">
        <v>132</v>
      </c>
      <c r="B3" s="105">
        <v>45481</v>
      </c>
      <c r="C3" s="98">
        <v>6.1000000000000004E-3</v>
      </c>
    </row>
    <row r="4" spans="1:3" ht="15" customHeight="1">
      <c r="A4" s="103" t="s">
        <v>132</v>
      </c>
      <c r="B4" s="106">
        <v>45488</v>
      </c>
      <c r="C4" s="101">
        <v>1.4E-2</v>
      </c>
    </row>
    <row r="5" spans="1:3" ht="15" customHeight="1">
      <c r="A5" s="103" t="s">
        <v>132</v>
      </c>
      <c r="B5" s="105">
        <v>45495</v>
      </c>
      <c r="C5" s="98">
        <v>2.3E-2</v>
      </c>
    </row>
    <row r="6" spans="1:3" ht="15" customHeight="1">
      <c r="A6" s="103" t="s">
        <v>132</v>
      </c>
      <c r="B6" s="106">
        <v>45502</v>
      </c>
      <c r="C6" s="101">
        <v>3.3000000000000002E-2</v>
      </c>
    </row>
    <row r="7" spans="1:3" ht="15" customHeight="1">
      <c r="A7" s="103" t="s">
        <v>132</v>
      </c>
      <c r="B7" s="105">
        <v>45509</v>
      </c>
      <c r="C7" s="98">
        <v>4.4299999999999999E-2</v>
      </c>
    </row>
    <row r="8" spans="1:3" ht="15" customHeight="1">
      <c r="A8" s="103" t="s">
        <v>132</v>
      </c>
      <c r="B8" s="106">
        <v>45516</v>
      </c>
      <c r="C8" s="101">
        <v>5.6899999999999999E-2</v>
      </c>
    </row>
    <row r="9" spans="1:3" ht="15" customHeight="1">
      <c r="A9" s="103" t="s">
        <v>132</v>
      </c>
      <c r="B9" s="105">
        <v>45523</v>
      </c>
      <c r="C9" s="98">
        <v>7.0999999999999994E-2</v>
      </c>
    </row>
    <row r="10" spans="1:3" ht="15" customHeight="1">
      <c r="A10" s="103" t="s">
        <v>132</v>
      </c>
      <c r="B10" s="106">
        <v>45530</v>
      </c>
      <c r="C10" s="101">
        <v>8.6599999999999996E-2</v>
      </c>
    </row>
    <row r="11" spans="1:3" ht="15" customHeight="1">
      <c r="A11" s="103" t="s">
        <v>132</v>
      </c>
      <c r="B11" s="105">
        <v>45537</v>
      </c>
      <c r="C11" s="98">
        <v>0.1038</v>
      </c>
    </row>
    <row r="12" spans="1:3" ht="15" customHeight="1">
      <c r="A12" s="103" t="s">
        <v>132</v>
      </c>
      <c r="B12" s="106">
        <v>45544</v>
      </c>
      <c r="C12" s="101">
        <v>0.12280000000000001</v>
      </c>
    </row>
    <row r="13" spans="1:3" ht="15" customHeight="1">
      <c r="A13" s="103" t="s">
        <v>132</v>
      </c>
      <c r="B13" s="105">
        <v>45551</v>
      </c>
      <c r="C13" s="98">
        <v>0.14360000000000001</v>
      </c>
    </row>
    <row r="14" spans="1:3" ht="15" customHeight="1">
      <c r="A14" s="103" t="s">
        <v>132</v>
      </c>
      <c r="B14" s="106">
        <v>45558</v>
      </c>
      <c r="C14" s="101">
        <v>0.16639999999999999</v>
      </c>
    </row>
    <row r="15" spans="1:3" ht="15" customHeight="1">
      <c r="A15" s="103" t="s">
        <v>132</v>
      </c>
      <c r="B15" s="105">
        <v>45565</v>
      </c>
      <c r="C15" s="98">
        <v>0.191</v>
      </c>
    </row>
    <row r="16" spans="1:3" ht="15" customHeight="1">
      <c r="A16" s="103" t="s">
        <v>132</v>
      </c>
      <c r="B16" s="106">
        <v>45572</v>
      </c>
      <c r="C16" s="101">
        <v>0.21759999999999999</v>
      </c>
    </row>
    <row r="17" spans="1:3" ht="15" customHeight="1">
      <c r="A17" s="103" t="s">
        <v>132</v>
      </c>
      <c r="B17" s="105">
        <v>45579</v>
      </c>
      <c r="C17" s="98">
        <v>0.24610000000000001</v>
      </c>
    </row>
    <row r="18" spans="1:3" ht="15" customHeight="1">
      <c r="A18" s="103" t="s">
        <v>132</v>
      </c>
      <c r="B18" s="106">
        <v>45586</v>
      </c>
      <c r="C18" s="101">
        <v>0.27639999999999998</v>
      </c>
    </row>
    <row r="19" spans="1:3" ht="15" customHeight="1">
      <c r="A19" s="103" t="s">
        <v>132</v>
      </c>
      <c r="B19" s="105">
        <v>45593</v>
      </c>
      <c r="C19" s="98">
        <v>0.3085</v>
      </c>
    </row>
    <row r="20" spans="1:3" ht="15" customHeight="1">
      <c r="A20" s="103" t="s">
        <v>132</v>
      </c>
      <c r="B20" s="106">
        <v>45600</v>
      </c>
      <c r="C20" s="101">
        <v>0.34200000000000003</v>
      </c>
    </row>
    <row r="21" spans="1:3" ht="15" customHeight="1">
      <c r="A21" s="103" t="s">
        <v>132</v>
      </c>
      <c r="B21" s="105">
        <v>45607</v>
      </c>
      <c r="C21" s="98">
        <v>0.37690000000000001</v>
      </c>
    </row>
    <row r="22" spans="1:3" ht="15" customHeight="1">
      <c r="A22" s="103" t="s">
        <v>132</v>
      </c>
      <c r="B22" s="106">
        <v>45614</v>
      </c>
      <c r="C22" s="101">
        <v>0.4128</v>
      </c>
    </row>
    <row r="23" spans="1:3" ht="15" customHeight="1">
      <c r="A23" s="103" t="s">
        <v>132</v>
      </c>
      <c r="B23" s="105">
        <v>45621</v>
      </c>
      <c r="C23" s="98">
        <v>0.44950000000000001</v>
      </c>
    </row>
    <row r="24" spans="1:3" ht="15" customHeight="1">
      <c r="A24" s="103" t="s">
        <v>132</v>
      </c>
      <c r="B24" s="106">
        <v>45628</v>
      </c>
      <c r="C24" s="101">
        <v>0.48670000000000002</v>
      </c>
    </row>
    <row r="25" spans="1:3" ht="15" customHeight="1">
      <c r="A25" s="103" t="s">
        <v>132</v>
      </c>
      <c r="B25" s="105">
        <v>45635</v>
      </c>
      <c r="C25" s="98">
        <v>0.52400000000000002</v>
      </c>
    </row>
    <row r="26" spans="1:3" ht="15" customHeight="1">
      <c r="A26" s="103" t="s">
        <v>132</v>
      </c>
      <c r="B26" s="106">
        <v>45642</v>
      </c>
      <c r="C26" s="101">
        <v>0.56100000000000005</v>
      </c>
    </row>
    <row r="27" spans="1:3" ht="15" customHeight="1">
      <c r="A27" s="103" t="s">
        <v>132</v>
      </c>
      <c r="B27" s="105">
        <v>45649</v>
      </c>
      <c r="C27" s="98">
        <v>0.59750000000000003</v>
      </c>
    </row>
    <row r="28" spans="1:3" ht="15" customHeight="1">
      <c r="A28" s="103" t="s">
        <v>132</v>
      </c>
      <c r="B28" s="106">
        <v>45656</v>
      </c>
      <c r="C28" s="101">
        <v>0.63319999999999999</v>
      </c>
    </row>
    <row r="29" spans="1:3" ht="15" customHeight="1">
      <c r="A29" s="103" t="s">
        <v>132</v>
      </c>
      <c r="B29" s="105">
        <v>45663</v>
      </c>
      <c r="C29" s="98">
        <v>0.66769999999999996</v>
      </c>
    </row>
    <row r="30" spans="1:3" ht="15" customHeight="1">
      <c r="A30" s="103" t="s">
        <v>132</v>
      </c>
      <c r="B30" s="106">
        <v>45670</v>
      </c>
      <c r="C30" s="101">
        <v>0.70089999999999997</v>
      </c>
    </row>
    <row r="31" spans="1:3" ht="15" customHeight="1">
      <c r="A31" s="103" t="s">
        <v>132</v>
      </c>
      <c r="B31" s="105">
        <v>45677</v>
      </c>
      <c r="C31" s="98">
        <v>0.73240000000000005</v>
      </c>
    </row>
    <row r="32" spans="1:3" ht="15" customHeight="1">
      <c r="A32" s="103" t="s">
        <v>132</v>
      </c>
      <c r="B32" s="106">
        <v>45684</v>
      </c>
      <c r="C32" s="101">
        <v>0.76219999999999999</v>
      </c>
    </row>
    <row r="33" spans="1:3" ht="15" customHeight="1">
      <c r="A33" s="103" t="s">
        <v>132</v>
      </c>
      <c r="B33" s="105">
        <v>45691</v>
      </c>
      <c r="C33" s="98">
        <v>0.79020000000000001</v>
      </c>
    </row>
    <row r="34" spans="1:3" ht="15" customHeight="1">
      <c r="A34" s="103" t="s">
        <v>132</v>
      </c>
      <c r="B34" s="106">
        <v>45698</v>
      </c>
      <c r="C34" s="101">
        <v>0.81620000000000004</v>
      </c>
    </row>
    <row r="35" spans="1:3" ht="15" customHeight="1">
      <c r="A35" s="103" t="s">
        <v>132</v>
      </c>
      <c r="B35" s="105">
        <v>45705</v>
      </c>
      <c r="C35" s="98">
        <v>0.84030000000000005</v>
      </c>
    </row>
    <row r="36" spans="1:3" ht="15" customHeight="1">
      <c r="A36" s="103" t="s">
        <v>132</v>
      </c>
      <c r="B36" s="106">
        <v>45712</v>
      </c>
      <c r="C36" s="101">
        <v>0.86250000000000004</v>
      </c>
    </row>
    <row r="37" spans="1:3" ht="15" customHeight="1">
      <c r="A37" s="103" t="s">
        <v>132</v>
      </c>
      <c r="B37" s="105">
        <v>45719</v>
      </c>
      <c r="C37" s="98">
        <v>0.88280000000000003</v>
      </c>
    </row>
    <row r="38" spans="1:3" ht="15" customHeight="1">
      <c r="A38" s="103" t="s">
        <v>132</v>
      </c>
      <c r="B38" s="106">
        <v>45726</v>
      </c>
      <c r="C38" s="101">
        <v>0.90129999999999999</v>
      </c>
    </row>
    <row r="39" spans="1:3" ht="15" customHeight="1">
      <c r="A39" s="103" t="s">
        <v>132</v>
      </c>
      <c r="B39" s="105">
        <v>45733</v>
      </c>
      <c r="C39" s="98">
        <v>0.91810000000000003</v>
      </c>
    </row>
    <row r="40" spans="1:3" ht="15" customHeight="1">
      <c r="A40" s="103" t="s">
        <v>132</v>
      </c>
      <c r="B40" s="106">
        <v>45740</v>
      </c>
      <c r="C40" s="101">
        <v>0.93320000000000003</v>
      </c>
    </row>
    <row r="41" spans="1:3" ht="15" customHeight="1">
      <c r="A41" s="103" t="s">
        <v>132</v>
      </c>
      <c r="B41" s="105">
        <v>45747</v>
      </c>
      <c r="C41" s="98">
        <v>0.94679999999999997</v>
      </c>
    </row>
    <row r="42" spans="1:3" ht="15" customHeight="1">
      <c r="A42" s="103" t="s">
        <v>132</v>
      </c>
      <c r="B42" s="106">
        <v>45754</v>
      </c>
      <c r="C42" s="101">
        <v>0.95899999999999996</v>
      </c>
    </row>
    <row r="43" spans="1:3" ht="15" customHeight="1">
      <c r="A43" s="103" t="s">
        <v>132</v>
      </c>
      <c r="B43" s="105">
        <v>45761</v>
      </c>
      <c r="C43" s="98">
        <v>0.96989999999999998</v>
      </c>
    </row>
    <row r="44" spans="1:3" ht="15" customHeight="1">
      <c r="A44" s="103" t="s">
        <v>132</v>
      </c>
      <c r="B44" s="106">
        <v>45768</v>
      </c>
      <c r="C44" s="101">
        <v>0.97970000000000002</v>
      </c>
    </row>
    <row r="45" spans="1:3" ht="15" customHeight="1">
      <c r="A45" s="103" t="s">
        <v>132</v>
      </c>
      <c r="B45" s="105">
        <v>45775</v>
      </c>
      <c r="C45" s="98">
        <v>0.98829999999999996</v>
      </c>
    </row>
    <row r="46" spans="1:3" ht="15" customHeight="1">
      <c r="A46" s="103" t="s">
        <v>132</v>
      </c>
      <c r="B46" s="106">
        <v>45782</v>
      </c>
      <c r="C46" s="101">
        <v>0.996</v>
      </c>
    </row>
    <row r="47" spans="1:3" ht="15" customHeight="1">
      <c r="A47" s="103" t="s">
        <v>132</v>
      </c>
      <c r="B47" s="105">
        <v>45786</v>
      </c>
      <c r="C47" s="98">
        <v>1</v>
      </c>
    </row>
    <row r="48" spans="1:3" ht="15" customHeight="1">
      <c r="A48" s="103" t="s">
        <v>264</v>
      </c>
      <c r="B48" s="106">
        <v>45719</v>
      </c>
      <c r="C48" s="101">
        <v>7.3000000000000001E-3</v>
      </c>
    </row>
    <row r="49" spans="1:3" ht="15" customHeight="1">
      <c r="A49" s="103" t="s">
        <v>264</v>
      </c>
      <c r="B49" s="105">
        <v>45726</v>
      </c>
      <c r="C49" s="98">
        <v>2.8199999999999999E-2</v>
      </c>
    </row>
    <row r="50" spans="1:3" ht="15" customHeight="1">
      <c r="A50" s="103" t="s">
        <v>264</v>
      </c>
      <c r="B50" s="106">
        <v>45733</v>
      </c>
      <c r="C50" s="101">
        <v>5.57E-2</v>
      </c>
    </row>
    <row r="51" spans="1:3" ht="15" customHeight="1">
      <c r="A51" s="103" t="s">
        <v>264</v>
      </c>
      <c r="B51" s="105">
        <v>45740</v>
      </c>
      <c r="C51" s="98">
        <v>9.1300000000000006E-2</v>
      </c>
    </row>
    <row r="52" spans="1:3" ht="15" customHeight="1">
      <c r="A52" s="103" t="s">
        <v>264</v>
      </c>
      <c r="B52" s="106">
        <v>45747</v>
      </c>
      <c r="C52" s="101">
        <v>0.1363</v>
      </c>
    </row>
    <row r="53" spans="1:3" ht="15" customHeight="1">
      <c r="A53" s="103" t="s">
        <v>264</v>
      </c>
      <c r="B53" s="105">
        <v>45754</v>
      </c>
      <c r="C53" s="98">
        <v>0.1918</v>
      </c>
    </row>
    <row r="54" spans="1:3" ht="15" customHeight="1">
      <c r="A54" s="103" t="s">
        <v>264</v>
      </c>
      <c r="B54" s="106">
        <v>45761</v>
      </c>
      <c r="C54" s="101">
        <v>0.25819999999999999</v>
      </c>
    </row>
    <row r="55" spans="1:3" ht="15" customHeight="1">
      <c r="A55" s="103" t="s">
        <v>264</v>
      </c>
      <c r="B55" s="105">
        <v>45768</v>
      </c>
      <c r="C55" s="98">
        <v>0.33450000000000002</v>
      </c>
    </row>
    <row r="56" spans="1:3" ht="15" customHeight="1">
      <c r="A56" s="103" t="s">
        <v>264</v>
      </c>
      <c r="B56" s="106">
        <v>45775</v>
      </c>
      <c r="C56" s="101">
        <v>0.41839999999999999</v>
      </c>
    </row>
    <row r="57" spans="1:3" ht="15" customHeight="1">
      <c r="A57" s="103" t="s">
        <v>264</v>
      </c>
      <c r="B57" s="105">
        <v>45782</v>
      </c>
      <c r="C57" s="98">
        <v>0.50629999999999997</v>
      </c>
    </row>
    <row r="58" spans="1:3" ht="15" customHeight="1">
      <c r="A58" s="103" t="s">
        <v>264</v>
      </c>
      <c r="B58" s="106">
        <v>45789</v>
      </c>
      <c r="C58" s="101">
        <v>0.59399999999999997</v>
      </c>
    </row>
    <row r="59" spans="1:3" ht="15" customHeight="1">
      <c r="A59" s="103" t="s">
        <v>264</v>
      </c>
      <c r="B59" s="105">
        <v>45796</v>
      </c>
      <c r="C59" s="98">
        <v>0.67700000000000005</v>
      </c>
    </row>
    <row r="60" spans="1:3" ht="15" customHeight="1">
      <c r="A60" s="103" t="s">
        <v>264</v>
      </c>
      <c r="B60" s="106">
        <v>45803</v>
      </c>
      <c r="C60" s="101">
        <v>0.75190000000000001</v>
      </c>
    </row>
    <row r="61" spans="1:3" ht="15" customHeight="1">
      <c r="A61" s="103" t="s">
        <v>264</v>
      </c>
      <c r="B61" s="105">
        <v>45810</v>
      </c>
      <c r="C61" s="98">
        <v>0.81679999999999997</v>
      </c>
    </row>
    <row r="62" spans="1:3" ht="15" customHeight="1">
      <c r="A62" s="103" t="s">
        <v>264</v>
      </c>
      <c r="B62" s="106">
        <v>45817</v>
      </c>
      <c r="C62" s="101">
        <v>0.87080000000000002</v>
      </c>
    </row>
    <row r="63" spans="1:3" ht="15" customHeight="1">
      <c r="A63" s="103" t="s">
        <v>264</v>
      </c>
      <c r="B63" s="105">
        <v>45824</v>
      </c>
      <c r="C63" s="98">
        <v>0.91439999999999999</v>
      </c>
    </row>
    <row r="64" spans="1:3" ht="15" customHeight="1">
      <c r="A64" s="103" t="s">
        <v>264</v>
      </c>
      <c r="B64" s="106">
        <v>45831</v>
      </c>
      <c r="C64" s="101">
        <v>0.94869999999999999</v>
      </c>
    </row>
    <row r="65" spans="1:3" ht="15" customHeight="1">
      <c r="A65" s="103" t="s">
        <v>264</v>
      </c>
      <c r="B65" s="105">
        <v>45838</v>
      </c>
      <c r="C65" s="98">
        <v>0.97509999999999997</v>
      </c>
    </row>
    <row r="66" spans="1:3" ht="15" customHeight="1">
      <c r="A66" s="103" t="s">
        <v>264</v>
      </c>
      <c r="B66" s="106">
        <v>45845</v>
      </c>
      <c r="C66" s="101">
        <v>0.99519999999999997</v>
      </c>
    </row>
    <row r="67" spans="1:3" ht="15" customHeight="1">
      <c r="A67" s="103" t="s">
        <v>264</v>
      </c>
      <c r="B67" s="105">
        <v>45847</v>
      </c>
      <c r="C67" s="98">
        <v>1</v>
      </c>
    </row>
    <row r="68" spans="1:3" ht="15" customHeight="1">
      <c r="A68" s="103" t="s">
        <v>311</v>
      </c>
      <c r="B68" s="106">
        <v>45719</v>
      </c>
      <c r="C68" s="101">
        <v>8.3000000000000001E-3</v>
      </c>
    </row>
    <row r="69" spans="1:3" ht="15" customHeight="1">
      <c r="A69" s="103" t="s">
        <v>311</v>
      </c>
      <c r="B69" s="105">
        <v>45726</v>
      </c>
      <c r="C69" s="98">
        <v>3.2800000000000003E-2</v>
      </c>
    </row>
    <row r="70" spans="1:3" ht="15" customHeight="1">
      <c r="A70" s="103" t="s">
        <v>311</v>
      </c>
      <c r="B70" s="106">
        <v>45733</v>
      </c>
      <c r="C70" s="101">
        <v>6.59E-2</v>
      </c>
    </row>
    <row r="71" spans="1:3" ht="15" customHeight="1">
      <c r="A71" s="103" t="s">
        <v>311</v>
      </c>
      <c r="B71" s="105">
        <v>45740</v>
      </c>
      <c r="C71" s="98">
        <v>0.11</v>
      </c>
    </row>
    <row r="72" spans="1:3" ht="15" customHeight="1">
      <c r="A72" s="103" t="s">
        <v>311</v>
      </c>
      <c r="B72" s="106">
        <v>45747</v>
      </c>
      <c r="C72" s="101">
        <v>0.1668</v>
      </c>
    </row>
    <row r="73" spans="1:3" ht="15" customHeight="1">
      <c r="A73" s="103" t="s">
        <v>311</v>
      </c>
      <c r="B73" s="105">
        <v>45754</v>
      </c>
      <c r="C73" s="98">
        <v>0.23730000000000001</v>
      </c>
    </row>
    <row r="74" spans="1:3" ht="15" customHeight="1">
      <c r="A74" s="103" t="s">
        <v>311</v>
      </c>
      <c r="B74" s="106">
        <v>45761</v>
      </c>
      <c r="C74" s="101">
        <v>0.32100000000000001</v>
      </c>
    </row>
    <row r="75" spans="1:3" ht="15" customHeight="1">
      <c r="A75" s="103" t="s">
        <v>311</v>
      </c>
      <c r="B75" s="105">
        <v>45768</v>
      </c>
      <c r="C75" s="98">
        <v>0.41499999999999998</v>
      </c>
    </row>
    <row r="76" spans="1:3" ht="15" customHeight="1">
      <c r="A76" s="103" t="s">
        <v>311</v>
      </c>
      <c r="B76" s="106">
        <v>45775</v>
      </c>
      <c r="C76" s="101">
        <v>0.51429999999999998</v>
      </c>
    </row>
    <row r="77" spans="1:3" ht="15" customHeight="1">
      <c r="A77" s="103" t="s">
        <v>311</v>
      </c>
      <c r="B77" s="105">
        <v>45782</v>
      </c>
      <c r="C77" s="98">
        <v>0.61270000000000002</v>
      </c>
    </row>
    <row r="78" spans="1:3" ht="15" customHeight="1">
      <c r="A78" s="103" t="s">
        <v>311</v>
      </c>
      <c r="B78" s="106">
        <v>45789</v>
      </c>
      <c r="C78" s="101">
        <v>0.70420000000000005</v>
      </c>
    </row>
    <row r="79" spans="1:3" ht="15" customHeight="1">
      <c r="A79" s="103" t="s">
        <v>311</v>
      </c>
      <c r="B79" s="105">
        <v>45796</v>
      </c>
      <c r="C79" s="98">
        <v>0.7843</v>
      </c>
    </row>
    <row r="80" spans="1:3" ht="15" customHeight="1">
      <c r="A80" s="103" t="s">
        <v>311</v>
      </c>
      <c r="B80" s="106">
        <v>45803</v>
      </c>
      <c r="C80" s="101">
        <v>0.85089999999999999</v>
      </c>
    </row>
    <row r="81" spans="1:3" ht="15" customHeight="1">
      <c r="A81" s="103" t="s">
        <v>311</v>
      </c>
      <c r="B81" s="105">
        <v>45810</v>
      </c>
      <c r="C81" s="98">
        <v>0.90380000000000005</v>
      </c>
    </row>
    <row r="82" spans="1:3" ht="15" customHeight="1">
      <c r="A82" s="103" t="s">
        <v>311</v>
      </c>
      <c r="B82" s="106">
        <v>45817</v>
      </c>
      <c r="C82" s="101">
        <v>0.9446</v>
      </c>
    </row>
    <row r="83" spans="1:3" ht="15" customHeight="1">
      <c r="A83" s="103" t="s">
        <v>311</v>
      </c>
      <c r="B83" s="105">
        <v>45824</v>
      </c>
      <c r="C83" s="98">
        <v>0.97499999999999998</v>
      </c>
    </row>
    <row r="84" spans="1:3" ht="15" customHeight="1">
      <c r="A84" s="103" t="s">
        <v>311</v>
      </c>
      <c r="B84" s="106">
        <v>45831</v>
      </c>
      <c r="C84" s="101">
        <v>0.99739999999999995</v>
      </c>
    </row>
    <row r="85" spans="1:3" ht="15" customHeight="1">
      <c r="A85" s="103" t="s">
        <v>311</v>
      </c>
      <c r="B85" s="105">
        <v>45832</v>
      </c>
      <c r="C85" s="98">
        <v>1</v>
      </c>
    </row>
    <row r="86" spans="1:3" ht="15" customHeight="1">
      <c r="A86" s="103" t="s">
        <v>312</v>
      </c>
      <c r="B86" s="106">
        <v>45719</v>
      </c>
      <c r="C86" s="101">
        <v>5.9999999999999995E-4</v>
      </c>
    </row>
    <row r="87" spans="1:3" ht="15" customHeight="1">
      <c r="A87" s="103" t="s">
        <v>312</v>
      </c>
      <c r="B87" s="105">
        <v>45726</v>
      </c>
      <c r="C87" s="98">
        <v>2.0999999999999999E-3</v>
      </c>
    </row>
    <row r="88" spans="1:3" ht="15" customHeight="1">
      <c r="A88" s="103" t="s">
        <v>312</v>
      </c>
      <c r="B88" s="106">
        <v>45733</v>
      </c>
      <c r="C88" s="101">
        <v>3.5999999999999999E-3</v>
      </c>
    </row>
    <row r="89" spans="1:3" ht="15" customHeight="1">
      <c r="A89" s="103" t="s">
        <v>312</v>
      </c>
      <c r="B89" s="105">
        <v>45740</v>
      </c>
      <c r="C89" s="98">
        <v>5.1000000000000004E-3</v>
      </c>
    </row>
    <row r="90" spans="1:3" ht="15" customHeight="1">
      <c r="A90" s="103" t="s">
        <v>312</v>
      </c>
      <c r="B90" s="106">
        <v>45747</v>
      </c>
      <c r="C90" s="101">
        <v>6.7000000000000002E-3</v>
      </c>
    </row>
    <row r="91" spans="1:3" ht="15" customHeight="1">
      <c r="A91" s="103" t="s">
        <v>312</v>
      </c>
      <c r="B91" s="105">
        <v>45754</v>
      </c>
      <c r="C91" s="98">
        <v>8.3000000000000001E-3</v>
      </c>
    </row>
    <row r="92" spans="1:3" ht="15" customHeight="1">
      <c r="A92" s="103" t="s">
        <v>312</v>
      </c>
      <c r="B92" s="106">
        <v>45761</v>
      </c>
      <c r="C92" s="101">
        <v>0.01</v>
      </c>
    </row>
    <row r="93" spans="1:3" ht="15" customHeight="1">
      <c r="A93" s="103" t="s">
        <v>312</v>
      </c>
      <c r="B93" s="105">
        <v>45768</v>
      </c>
      <c r="C93" s="98">
        <v>1.17E-2</v>
      </c>
    </row>
    <row r="94" spans="1:3" ht="15" customHeight="1">
      <c r="A94" s="103" t="s">
        <v>312</v>
      </c>
      <c r="B94" s="106">
        <v>45775</v>
      </c>
      <c r="C94" s="101">
        <v>1.34E-2</v>
      </c>
    </row>
    <row r="95" spans="1:3" ht="15" customHeight="1">
      <c r="A95" s="103" t="s">
        <v>312</v>
      </c>
      <c r="B95" s="105">
        <v>45782</v>
      </c>
      <c r="C95" s="98">
        <v>1.52E-2</v>
      </c>
    </row>
    <row r="96" spans="1:3" ht="15" customHeight="1">
      <c r="A96" s="103" t="s">
        <v>312</v>
      </c>
      <c r="B96" s="106">
        <v>45789</v>
      </c>
      <c r="C96" s="101">
        <v>1.7000000000000001E-2</v>
      </c>
    </row>
    <row r="97" spans="1:3" ht="15" customHeight="1">
      <c r="A97" s="103" t="s">
        <v>312</v>
      </c>
      <c r="B97" s="105">
        <v>45796</v>
      </c>
      <c r="C97" s="98">
        <v>1.89E-2</v>
      </c>
    </row>
    <row r="98" spans="1:3" ht="15" customHeight="1">
      <c r="A98" s="103" t="s">
        <v>312</v>
      </c>
      <c r="B98" s="106">
        <v>45803</v>
      </c>
      <c r="C98" s="101">
        <v>2.0899999999999998E-2</v>
      </c>
    </row>
    <row r="99" spans="1:3" ht="15" customHeight="1">
      <c r="A99" s="103" t="s">
        <v>312</v>
      </c>
      <c r="B99" s="105">
        <v>45810</v>
      </c>
      <c r="C99" s="98">
        <v>2.2800000000000001E-2</v>
      </c>
    </row>
    <row r="100" spans="1:3" ht="15" customHeight="1">
      <c r="A100" s="103" t="s">
        <v>312</v>
      </c>
      <c r="B100" s="106">
        <v>45817</v>
      </c>
      <c r="C100" s="101">
        <v>2.4899999999999999E-2</v>
      </c>
    </row>
    <row r="101" spans="1:3" ht="15" customHeight="1">
      <c r="A101" s="103" t="s">
        <v>312</v>
      </c>
      <c r="B101" s="105">
        <v>45824</v>
      </c>
      <c r="C101" s="98">
        <v>2.69E-2</v>
      </c>
    </row>
    <row r="102" spans="1:3" ht="15" customHeight="1">
      <c r="A102" s="103" t="s">
        <v>312</v>
      </c>
      <c r="B102" s="106">
        <v>45831</v>
      </c>
      <c r="C102" s="101">
        <v>2.9100000000000001E-2</v>
      </c>
    </row>
    <row r="103" spans="1:3" ht="15" customHeight="1">
      <c r="A103" s="103" t="s">
        <v>312</v>
      </c>
      <c r="B103" s="105">
        <v>45838</v>
      </c>
      <c r="C103" s="98">
        <v>3.1300000000000001E-2</v>
      </c>
    </row>
    <row r="104" spans="1:3" ht="15" customHeight="1">
      <c r="A104" s="103" t="s">
        <v>312</v>
      </c>
      <c r="B104" s="106">
        <v>45845</v>
      </c>
      <c r="C104" s="101">
        <v>3.3500000000000002E-2</v>
      </c>
    </row>
    <row r="105" spans="1:3" ht="15" customHeight="1">
      <c r="A105" s="103" t="s">
        <v>312</v>
      </c>
      <c r="B105" s="105">
        <v>45852</v>
      </c>
      <c r="C105" s="98">
        <v>3.5799999999999998E-2</v>
      </c>
    </row>
    <row r="106" spans="1:3" ht="15" customHeight="1">
      <c r="A106" s="103" t="s">
        <v>312</v>
      </c>
      <c r="B106" s="106">
        <v>45859</v>
      </c>
      <c r="C106" s="101">
        <v>3.8100000000000002E-2</v>
      </c>
    </row>
    <row r="107" spans="1:3" ht="15" customHeight="1">
      <c r="A107" s="103" t="s">
        <v>312</v>
      </c>
      <c r="B107" s="105">
        <v>45866</v>
      </c>
      <c r="C107" s="98">
        <v>4.0500000000000001E-2</v>
      </c>
    </row>
    <row r="108" spans="1:3" ht="15" customHeight="1">
      <c r="A108" s="103" t="s">
        <v>312</v>
      </c>
      <c r="B108" s="106">
        <v>45873</v>
      </c>
      <c r="C108" s="101">
        <v>4.2999999999999997E-2</v>
      </c>
    </row>
    <row r="109" spans="1:3" ht="15" customHeight="1">
      <c r="A109" s="103" t="s">
        <v>312</v>
      </c>
      <c r="B109" s="105">
        <v>45880</v>
      </c>
      <c r="C109" s="98">
        <v>4.5499999999999999E-2</v>
      </c>
    </row>
    <row r="110" spans="1:3" ht="15" customHeight="1">
      <c r="A110" s="103" t="s">
        <v>312</v>
      </c>
      <c r="B110" s="106">
        <v>45887</v>
      </c>
      <c r="C110" s="101">
        <v>4.8099999999999997E-2</v>
      </c>
    </row>
    <row r="111" spans="1:3" ht="15" customHeight="1">
      <c r="A111" s="103" t="s">
        <v>312</v>
      </c>
      <c r="B111" s="105">
        <v>45894</v>
      </c>
      <c r="C111" s="98">
        <v>5.0700000000000002E-2</v>
      </c>
    </row>
    <row r="112" spans="1:3" ht="15" customHeight="1">
      <c r="A112" s="103" t="s">
        <v>312</v>
      </c>
      <c r="B112" s="106">
        <v>45901</v>
      </c>
      <c r="C112" s="101">
        <v>5.3400000000000003E-2</v>
      </c>
    </row>
    <row r="113" spans="1:3" ht="15" customHeight="1">
      <c r="A113" s="103" t="s">
        <v>312</v>
      </c>
      <c r="B113" s="105">
        <v>45908</v>
      </c>
      <c r="C113" s="98">
        <v>5.62E-2</v>
      </c>
    </row>
    <row r="114" spans="1:3" ht="15" customHeight="1">
      <c r="A114" s="103" t="s">
        <v>312</v>
      </c>
      <c r="B114" s="106">
        <v>45915</v>
      </c>
      <c r="C114" s="101">
        <v>5.8999999999999997E-2</v>
      </c>
    </row>
    <row r="115" spans="1:3" ht="15" customHeight="1">
      <c r="A115" s="103" t="s">
        <v>312</v>
      </c>
      <c r="B115" s="105">
        <v>45922</v>
      </c>
      <c r="C115" s="98">
        <v>6.1899999999999997E-2</v>
      </c>
    </row>
    <row r="116" spans="1:3" ht="15" customHeight="1">
      <c r="A116" s="103" t="s">
        <v>312</v>
      </c>
      <c r="B116" s="106">
        <v>45929</v>
      </c>
      <c r="C116" s="101">
        <v>6.4899999999999999E-2</v>
      </c>
    </row>
    <row r="117" spans="1:3" ht="15" customHeight="1">
      <c r="A117" s="103" t="s">
        <v>312</v>
      </c>
      <c r="B117" s="105">
        <v>45936</v>
      </c>
      <c r="C117" s="98">
        <v>6.7900000000000002E-2</v>
      </c>
    </row>
    <row r="118" spans="1:3" ht="15" customHeight="1">
      <c r="A118" s="103" t="s">
        <v>312</v>
      </c>
      <c r="B118" s="106">
        <v>45943</v>
      </c>
      <c r="C118" s="101">
        <v>7.0999999999999994E-2</v>
      </c>
    </row>
    <row r="119" spans="1:3" ht="15" customHeight="1">
      <c r="A119" s="103" t="s">
        <v>312</v>
      </c>
      <c r="B119" s="105">
        <v>45950</v>
      </c>
      <c r="C119" s="98">
        <v>7.4200000000000002E-2</v>
      </c>
    </row>
    <row r="120" spans="1:3" ht="15" customHeight="1">
      <c r="A120" s="103" t="s">
        <v>312</v>
      </c>
      <c r="B120" s="106">
        <v>45957</v>
      </c>
      <c r="C120" s="101">
        <v>7.7399999999999997E-2</v>
      </c>
    </row>
    <row r="121" spans="1:3" ht="15" customHeight="1">
      <c r="A121" s="103" t="s">
        <v>312</v>
      </c>
      <c r="B121" s="105">
        <v>45964</v>
      </c>
      <c r="C121" s="98">
        <v>8.0699999999999994E-2</v>
      </c>
    </row>
    <row r="122" spans="1:3" ht="15" customHeight="1">
      <c r="A122" s="103" t="s">
        <v>312</v>
      </c>
      <c r="B122" s="106">
        <v>45971</v>
      </c>
      <c r="C122" s="101">
        <v>8.4099999999999994E-2</v>
      </c>
    </row>
    <row r="123" spans="1:3" ht="15" customHeight="1">
      <c r="A123" s="103" t="s">
        <v>312</v>
      </c>
      <c r="B123" s="105">
        <v>45978</v>
      </c>
      <c r="C123" s="98">
        <v>8.7599999999999997E-2</v>
      </c>
    </row>
    <row r="124" spans="1:3" ht="15" customHeight="1">
      <c r="A124" s="103" t="s">
        <v>312</v>
      </c>
      <c r="B124" s="106">
        <v>45985</v>
      </c>
      <c r="C124" s="101">
        <v>9.11E-2</v>
      </c>
    </row>
    <row r="125" spans="1:3" ht="15" customHeight="1">
      <c r="A125" s="103" t="s">
        <v>312</v>
      </c>
      <c r="B125" s="105">
        <v>45992</v>
      </c>
      <c r="C125" s="98">
        <v>9.4700000000000006E-2</v>
      </c>
    </row>
    <row r="126" spans="1:3" ht="15" customHeight="1">
      <c r="A126" s="103" t="s">
        <v>312</v>
      </c>
      <c r="B126" s="106">
        <v>45999</v>
      </c>
      <c r="C126" s="101">
        <v>9.8400000000000001E-2</v>
      </c>
    </row>
    <row r="127" spans="1:3" ht="15" customHeight="1">
      <c r="A127" s="103" t="s">
        <v>312</v>
      </c>
      <c r="B127" s="105">
        <v>46006</v>
      </c>
      <c r="C127" s="98">
        <v>0.1021</v>
      </c>
    </row>
    <row r="128" spans="1:3" ht="15" customHeight="1">
      <c r="A128" s="103" t="s">
        <v>312</v>
      </c>
      <c r="B128" s="106">
        <v>46013</v>
      </c>
      <c r="C128" s="101">
        <v>0.106</v>
      </c>
    </row>
    <row r="129" spans="1:3" ht="15" customHeight="1">
      <c r="A129" s="103" t="s">
        <v>312</v>
      </c>
      <c r="B129" s="105">
        <v>46020</v>
      </c>
      <c r="C129" s="98">
        <v>0.1099</v>
      </c>
    </row>
    <row r="130" spans="1:3" ht="15" customHeight="1">
      <c r="A130" s="103" t="s">
        <v>312</v>
      </c>
      <c r="B130" s="106">
        <v>46027</v>
      </c>
      <c r="C130" s="101">
        <v>0.1139</v>
      </c>
    </row>
    <row r="131" spans="1:3" ht="15" customHeight="1">
      <c r="A131" s="103" t="s">
        <v>312</v>
      </c>
      <c r="B131" s="105">
        <v>46034</v>
      </c>
      <c r="C131" s="98">
        <v>0.11799999999999999</v>
      </c>
    </row>
    <row r="132" spans="1:3" ht="15" customHeight="1">
      <c r="A132" s="103" t="s">
        <v>312</v>
      </c>
      <c r="B132" s="106">
        <v>46041</v>
      </c>
      <c r="C132" s="101">
        <v>0.1221</v>
      </c>
    </row>
    <row r="133" spans="1:3" ht="15" customHeight="1">
      <c r="A133" s="103" t="s">
        <v>312</v>
      </c>
      <c r="B133" s="105">
        <v>46048</v>
      </c>
      <c r="C133" s="98">
        <v>0.12640000000000001</v>
      </c>
    </row>
    <row r="134" spans="1:3" ht="15" customHeight="1">
      <c r="A134" s="103" t="s">
        <v>312</v>
      </c>
      <c r="B134" s="106">
        <v>46055</v>
      </c>
      <c r="C134" s="101">
        <v>0.13070000000000001</v>
      </c>
    </row>
    <row r="135" spans="1:3" ht="15" customHeight="1">
      <c r="A135" s="103" t="s">
        <v>312</v>
      </c>
      <c r="B135" s="105">
        <v>46062</v>
      </c>
      <c r="C135" s="98">
        <v>0.1351</v>
      </c>
    </row>
    <row r="136" spans="1:3" ht="15" customHeight="1">
      <c r="A136" s="103" t="s">
        <v>312</v>
      </c>
      <c r="B136" s="106">
        <v>46069</v>
      </c>
      <c r="C136" s="101">
        <v>0.1396</v>
      </c>
    </row>
    <row r="137" spans="1:3" ht="15" customHeight="1">
      <c r="A137" s="103" t="s">
        <v>312</v>
      </c>
      <c r="B137" s="105">
        <v>46076</v>
      </c>
      <c r="C137" s="98">
        <v>0.14419999999999999</v>
      </c>
    </row>
    <row r="138" spans="1:3" ht="15" customHeight="1">
      <c r="A138" s="103" t="s">
        <v>312</v>
      </c>
      <c r="B138" s="106">
        <v>46083</v>
      </c>
      <c r="C138" s="101">
        <v>0.14879999999999999</v>
      </c>
    </row>
    <row r="139" spans="1:3" ht="15" customHeight="1">
      <c r="A139" s="103" t="s">
        <v>312</v>
      </c>
      <c r="B139" s="105">
        <v>46090</v>
      </c>
      <c r="C139" s="98">
        <v>0.15359999999999999</v>
      </c>
    </row>
    <row r="140" spans="1:3" ht="15" customHeight="1">
      <c r="A140" s="103" t="s">
        <v>312</v>
      </c>
      <c r="B140" s="106">
        <v>46097</v>
      </c>
      <c r="C140" s="101">
        <v>0.15840000000000001</v>
      </c>
    </row>
    <row r="141" spans="1:3" ht="15" customHeight="1">
      <c r="A141" s="103" t="s">
        <v>312</v>
      </c>
      <c r="B141" s="105">
        <v>46104</v>
      </c>
      <c r="C141" s="98">
        <v>0.1633</v>
      </c>
    </row>
    <row r="142" spans="1:3" ht="15" customHeight="1">
      <c r="A142" s="103" t="s">
        <v>312</v>
      </c>
      <c r="B142" s="106">
        <v>46111</v>
      </c>
      <c r="C142" s="101">
        <v>0.16830000000000001</v>
      </c>
    </row>
    <row r="143" spans="1:3" ht="15" customHeight="1">
      <c r="A143" s="103" t="s">
        <v>312</v>
      </c>
      <c r="B143" s="105">
        <v>46118</v>
      </c>
      <c r="C143" s="98">
        <v>0.1734</v>
      </c>
    </row>
    <row r="144" spans="1:3" ht="15" customHeight="1">
      <c r="A144" s="103" t="s">
        <v>312</v>
      </c>
      <c r="B144" s="106">
        <v>46125</v>
      </c>
      <c r="C144" s="101">
        <v>0.17860000000000001</v>
      </c>
    </row>
    <row r="145" spans="1:3" ht="15" customHeight="1">
      <c r="A145" s="103" t="s">
        <v>312</v>
      </c>
      <c r="B145" s="105">
        <v>46132</v>
      </c>
      <c r="C145" s="98">
        <v>0.18379999999999999</v>
      </c>
    </row>
    <row r="146" spans="1:3" ht="15" customHeight="1">
      <c r="A146" s="103" t="s">
        <v>312</v>
      </c>
      <c r="B146" s="106">
        <v>46139</v>
      </c>
      <c r="C146" s="101">
        <v>0.18920000000000001</v>
      </c>
    </row>
    <row r="147" spans="1:3" ht="15" customHeight="1">
      <c r="A147" s="103" t="s">
        <v>312</v>
      </c>
      <c r="B147" s="105">
        <v>46146</v>
      </c>
      <c r="C147" s="98">
        <v>0.1946</v>
      </c>
    </row>
    <row r="148" spans="1:3" ht="15" customHeight="1">
      <c r="A148" s="103" t="s">
        <v>312</v>
      </c>
      <c r="B148" s="106">
        <v>46153</v>
      </c>
      <c r="C148" s="101">
        <v>0.2001</v>
      </c>
    </row>
    <row r="149" spans="1:3" ht="15" customHeight="1">
      <c r="A149" s="103" t="s">
        <v>312</v>
      </c>
      <c r="B149" s="105">
        <v>46160</v>
      </c>
      <c r="C149" s="98">
        <v>0.20580000000000001</v>
      </c>
    </row>
    <row r="150" spans="1:3" ht="15" customHeight="1">
      <c r="A150" s="103" t="s">
        <v>312</v>
      </c>
      <c r="B150" s="106">
        <v>46167</v>
      </c>
      <c r="C150" s="101">
        <v>0.2114</v>
      </c>
    </row>
    <row r="151" spans="1:3" ht="15" customHeight="1">
      <c r="A151" s="103" t="s">
        <v>312</v>
      </c>
      <c r="B151" s="105">
        <v>46174</v>
      </c>
      <c r="C151" s="98">
        <v>0.2172</v>
      </c>
    </row>
    <row r="152" spans="1:3" ht="15" customHeight="1">
      <c r="A152" s="103" t="s">
        <v>312</v>
      </c>
      <c r="B152" s="106">
        <v>46181</v>
      </c>
      <c r="C152" s="101">
        <v>0.22309999999999999</v>
      </c>
    </row>
    <row r="153" spans="1:3" ht="15" customHeight="1">
      <c r="A153" s="103" t="s">
        <v>312</v>
      </c>
      <c r="B153" s="105">
        <v>46188</v>
      </c>
      <c r="C153" s="98">
        <v>0.22900000000000001</v>
      </c>
    </row>
    <row r="154" spans="1:3" ht="15" customHeight="1">
      <c r="A154" s="103" t="s">
        <v>312</v>
      </c>
      <c r="B154" s="106">
        <v>46195</v>
      </c>
      <c r="C154" s="101">
        <v>0.2351</v>
      </c>
    </row>
    <row r="155" spans="1:3" ht="15" customHeight="1">
      <c r="A155" s="103" t="s">
        <v>312</v>
      </c>
      <c r="B155" s="105">
        <v>46202</v>
      </c>
      <c r="C155" s="98">
        <v>0.2412</v>
      </c>
    </row>
    <row r="156" spans="1:3" ht="15" customHeight="1">
      <c r="A156" s="103" t="s">
        <v>312</v>
      </c>
      <c r="B156" s="106">
        <v>46209</v>
      </c>
      <c r="C156" s="101">
        <v>0.24740000000000001</v>
      </c>
    </row>
    <row r="157" spans="1:3" ht="15" customHeight="1">
      <c r="A157" s="103" t="s">
        <v>312</v>
      </c>
      <c r="B157" s="105">
        <v>46216</v>
      </c>
      <c r="C157" s="98">
        <v>0.25369999999999998</v>
      </c>
    </row>
    <row r="158" spans="1:3" ht="15" customHeight="1">
      <c r="A158" s="103" t="s">
        <v>312</v>
      </c>
      <c r="B158" s="106">
        <v>46223</v>
      </c>
      <c r="C158" s="101">
        <v>0.26</v>
      </c>
    </row>
    <row r="159" spans="1:3" ht="15" customHeight="1">
      <c r="A159" s="103" t="s">
        <v>312</v>
      </c>
      <c r="B159" s="105">
        <v>46230</v>
      </c>
      <c r="C159" s="98">
        <v>0.26650000000000001</v>
      </c>
    </row>
    <row r="160" spans="1:3" ht="15" customHeight="1">
      <c r="A160" s="103" t="s">
        <v>312</v>
      </c>
      <c r="B160" s="106">
        <v>46237</v>
      </c>
      <c r="C160" s="101">
        <v>0.27300000000000002</v>
      </c>
    </row>
    <row r="161" spans="1:3" ht="15" customHeight="1">
      <c r="A161" s="103" t="s">
        <v>312</v>
      </c>
      <c r="B161" s="105">
        <v>46244</v>
      </c>
      <c r="C161" s="98">
        <v>0.27960000000000002</v>
      </c>
    </row>
    <row r="162" spans="1:3" ht="15" customHeight="1">
      <c r="A162" s="103" t="s">
        <v>312</v>
      </c>
      <c r="B162" s="106">
        <v>46251</v>
      </c>
      <c r="C162" s="101">
        <v>0.2863</v>
      </c>
    </row>
    <row r="163" spans="1:3" ht="15" customHeight="1">
      <c r="A163" s="103" t="s">
        <v>312</v>
      </c>
      <c r="B163" s="105">
        <v>46258</v>
      </c>
      <c r="C163" s="98">
        <v>0.29299999999999998</v>
      </c>
    </row>
    <row r="164" spans="1:3" ht="15" customHeight="1">
      <c r="A164" s="103" t="s">
        <v>312</v>
      </c>
      <c r="B164" s="106">
        <v>46265</v>
      </c>
      <c r="C164" s="101">
        <v>0.29980000000000001</v>
      </c>
    </row>
    <row r="165" spans="1:3" ht="15" customHeight="1">
      <c r="A165" s="103" t="s">
        <v>312</v>
      </c>
      <c r="B165" s="105">
        <v>46272</v>
      </c>
      <c r="C165" s="98">
        <v>0.30669999999999997</v>
      </c>
    </row>
    <row r="166" spans="1:3" ht="15" customHeight="1">
      <c r="A166" s="103" t="s">
        <v>312</v>
      </c>
      <c r="B166" s="106">
        <v>46279</v>
      </c>
      <c r="C166" s="101">
        <v>0.31369999999999998</v>
      </c>
    </row>
    <row r="167" spans="1:3" ht="15" customHeight="1">
      <c r="A167" s="103" t="s">
        <v>312</v>
      </c>
      <c r="B167" s="105">
        <v>46286</v>
      </c>
      <c r="C167" s="98">
        <v>0.32069999999999999</v>
      </c>
    </row>
    <row r="168" spans="1:3" ht="15" customHeight="1">
      <c r="A168" s="103" t="s">
        <v>312</v>
      </c>
      <c r="B168" s="106">
        <v>46293</v>
      </c>
      <c r="C168" s="101">
        <v>0.32779999999999998</v>
      </c>
    </row>
    <row r="169" spans="1:3" ht="15" customHeight="1">
      <c r="A169" s="103" t="s">
        <v>312</v>
      </c>
      <c r="B169" s="105">
        <v>46300</v>
      </c>
      <c r="C169" s="98">
        <v>0.33500000000000002</v>
      </c>
    </row>
    <row r="170" spans="1:3" ht="15" customHeight="1">
      <c r="A170" s="103" t="s">
        <v>312</v>
      </c>
      <c r="B170" s="106">
        <v>46307</v>
      </c>
      <c r="C170" s="101">
        <v>0.3422</v>
      </c>
    </row>
    <row r="171" spans="1:3" ht="15" customHeight="1">
      <c r="A171" s="103" t="s">
        <v>312</v>
      </c>
      <c r="B171" s="105">
        <v>46314</v>
      </c>
      <c r="C171" s="98">
        <v>0.34949999999999998</v>
      </c>
    </row>
    <row r="172" spans="1:3" ht="15" customHeight="1">
      <c r="A172" s="103" t="s">
        <v>312</v>
      </c>
      <c r="B172" s="106">
        <v>46321</v>
      </c>
      <c r="C172" s="101">
        <v>0.35680000000000001</v>
      </c>
    </row>
    <row r="173" spans="1:3" ht="15" customHeight="1">
      <c r="A173" s="103" t="s">
        <v>312</v>
      </c>
      <c r="B173" s="105">
        <v>46328</v>
      </c>
      <c r="C173" s="98">
        <v>0.36420000000000002</v>
      </c>
    </row>
    <row r="174" spans="1:3" ht="15" customHeight="1">
      <c r="A174" s="103" t="s">
        <v>312</v>
      </c>
      <c r="B174" s="106">
        <v>46335</v>
      </c>
      <c r="C174" s="101">
        <v>0.37159999999999999</v>
      </c>
    </row>
    <row r="175" spans="1:3" ht="15" customHeight="1">
      <c r="A175" s="103" t="s">
        <v>312</v>
      </c>
      <c r="B175" s="105">
        <v>46342</v>
      </c>
      <c r="C175" s="98">
        <v>0.37909999999999999</v>
      </c>
    </row>
    <row r="176" spans="1:3" ht="15" customHeight="1">
      <c r="A176" s="103" t="s">
        <v>312</v>
      </c>
      <c r="B176" s="106">
        <v>46349</v>
      </c>
      <c r="C176" s="101">
        <v>0.3866</v>
      </c>
    </row>
    <row r="177" spans="1:3" ht="15" customHeight="1">
      <c r="A177" s="103" t="s">
        <v>312</v>
      </c>
      <c r="B177" s="105">
        <v>46356</v>
      </c>
      <c r="C177" s="98">
        <v>0.39419999999999999</v>
      </c>
    </row>
    <row r="178" spans="1:3" ht="15" customHeight="1">
      <c r="A178" s="103" t="s">
        <v>312</v>
      </c>
      <c r="B178" s="106">
        <v>46363</v>
      </c>
      <c r="C178" s="101">
        <v>0.40179999999999999</v>
      </c>
    </row>
    <row r="179" spans="1:3" ht="15" customHeight="1">
      <c r="A179" s="103" t="s">
        <v>312</v>
      </c>
      <c r="B179" s="105">
        <v>46370</v>
      </c>
      <c r="C179" s="98">
        <v>0.40949999999999998</v>
      </c>
    </row>
    <row r="180" spans="1:3" ht="15" customHeight="1">
      <c r="A180" s="103" t="s">
        <v>312</v>
      </c>
      <c r="B180" s="106">
        <v>46377</v>
      </c>
      <c r="C180" s="101">
        <v>0.41720000000000002</v>
      </c>
    </row>
    <row r="181" spans="1:3" ht="15" customHeight="1">
      <c r="A181" s="103" t="s">
        <v>312</v>
      </c>
      <c r="B181" s="105">
        <v>46384</v>
      </c>
      <c r="C181" s="98">
        <v>0.4249</v>
      </c>
    </row>
    <row r="182" spans="1:3" ht="15" customHeight="1">
      <c r="A182" s="103" t="s">
        <v>312</v>
      </c>
      <c r="B182" s="106">
        <v>46391</v>
      </c>
      <c r="C182" s="101">
        <v>0.43269999999999997</v>
      </c>
    </row>
    <row r="183" spans="1:3" ht="15" customHeight="1">
      <c r="A183" s="103" t="s">
        <v>312</v>
      </c>
      <c r="B183" s="105">
        <v>46398</v>
      </c>
      <c r="C183" s="98">
        <v>0.4405</v>
      </c>
    </row>
    <row r="184" spans="1:3" ht="15" customHeight="1">
      <c r="A184" s="103" t="s">
        <v>312</v>
      </c>
      <c r="B184" s="106">
        <v>46405</v>
      </c>
      <c r="C184" s="101">
        <v>0.44829999999999998</v>
      </c>
    </row>
    <row r="185" spans="1:3" ht="15" customHeight="1">
      <c r="A185" s="103" t="s">
        <v>312</v>
      </c>
      <c r="B185" s="105">
        <v>46412</v>
      </c>
      <c r="C185" s="98">
        <v>0.45610000000000001</v>
      </c>
    </row>
    <row r="186" spans="1:3" ht="15" customHeight="1">
      <c r="A186" s="103" t="s">
        <v>312</v>
      </c>
      <c r="B186" s="106">
        <v>46419</v>
      </c>
      <c r="C186" s="101">
        <v>0.46400000000000002</v>
      </c>
    </row>
    <row r="187" spans="1:3" ht="15" customHeight="1">
      <c r="A187" s="103" t="s">
        <v>312</v>
      </c>
      <c r="B187" s="105">
        <v>46426</v>
      </c>
      <c r="C187" s="98">
        <v>0.4718</v>
      </c>
    </row>
    <row r="188" spans="1:3" ht="15" customHeight="1">
      <c r="A188" s="103" t="s">
        <v>312</v>
      </c>
      <c r="B188" s="106">
        <v>46433</v>
      </c>
      <c r="C188" s="101">
        <v>0.47970000000000002</v>
      </c>
    </row>
    <row r="189" spans="1:3" ht="15" customHeight="1">
      <c r="A189" s="103" t="s">
        <v>312</v>
      </c>
      <c r="B189" s="105">
        <v>46440</v>
      </c>
      <c r="C189" s="98">
        <v>0.48759999999999998</v>
      </c>
    </row>
    <row r="190" spans="1:3" ht="15" customHeight="1">
      <c r="A190" s="103" t="s">
        <v>312</v>
      </c>
      <c r="B190" s="106">
        <v>46447</v>
      </c>
      <c r="C190" s="101">
        <v>0.4955</v>
      </c>
    </row>
    <row r="191" spans="1:3" ht="15" customHeight="1">
      <c r="A191" s="103" t="s">
        <v>312</v>
      </c>
      <c r="B191" s="105">
        <v>46454</v>
      </c>
      <c r="C191" s="98">
        <v>0.50339999999999996</v>
      </c>
    </row>
    <row r="192" spans="1:3" ht="15" customHeight="1">
      <c r="A192" s="103" t="s">
        <v>312</v>
      </c>
      <c r="B192" s="106">
        <v>46461</v>
      </c>
      <c r="C192" s="101">
        <v>0.51129999999999998</v>
      </c>
    </row>
    <row r="193" spans="1:3" ht="15" customHeight="1">
      <c r="A193" s="103" t="s">
        <v>312</v>
      </c>
      <c r="B193" s="105">
        <v>46468</v>
      </c>
      <c r="C193" s="98">
        <v>0.51919999999999999</v>
      </c>
    </row>
    <row r="194" spans="1:3" ht="15" customHeight="1">
      <c r="A194" s="103" t="s">
        <v>312</v>
      </c>
      <c r="B194" s="106">
        <v>46475</v>
      </c>
      <c r="C194" s="101">
        <v>0.52700000000000002</v>
      </c>
    </row>
    <row r="195" spans="1:3" ht="15" customHeight="1">
      <c r="A195" s="103" t="s">
        <v>312</v>
      </c>
      <c r="B195" s="105">
        <v>46482</v>
      </c>
      <c r="C195" s="98">
        <v>0.53490000000000004</v>
      </c>
    </row>
    <row r="196" spans="1:3" ht="15" customHeight="1">
      <c r="A196" s="103" t="s">
        <v>312</v>
      </c>
      <c r="B196" s="106">
        <v>46489</v>
      </c>
      <c r="C196" s="101">
        <v>0.54279999999999995</v>
      </c>
    </row>
    <row r="197" spans="1:3" ht="15" customHeight="1">
      <c r="A197" s="103" t="s">
        <v>312</v>
      </c>
      <c r="B197" s="105">
        <v>46496</v>
      </c>
      <c r="C197" s="98">
        <v>0.55059999999999998</v>
      </c>
    </row>
    <row r="198" spans="1:3" ht="15" customHeight="1">
      <c r="A198" s="103" t="s">
        <v>312</v>
      </c>
      <c r="B198" s="106">
        <v>46503</v>
      </c>
      <c r="C198" s="101">
        <v>0.55840000000000001</v>
      </c>
    </row>
    <row r="199" spans="1:3" ht="15" customHeight="1">
      <c r="A199" s="103" t="s">
        <v>312</v>
      </c>
      <c r="B199" s="105">
        <v>46510</v>
      </c>
      <c r="C199" s="98">
        <v>0.56620000000000004</v>
      </c>
    </row>
    <row r="200" spans="1:3" ht="15" customHeight="1">
      <c r="A200" s="103" t="s">
        <v>312</v>
      </c>
      <c r="B200" s="106">
        <v>46517</v>
      </c>
      <c r="C200" s="101">
        <v>0.57399999999999995</v>
      </c>
    </row>
    <row r="201" spans="1:3" ht="15" customHeight="1">
      <c r="A201" s="103" t="s">
        <v>312</v>
      </c>
      <c r="B201" s="105">
        <v>46524</v>
      </c>
      <c r="C201" s="98">
        <v>0.58169999999999999</v>
      </c>
    </row>
    <row r="202" spans="1:3" ht="15" customHeight="1">
      <c r="A202" s="103" t="s">
        <v>312</v>
      </c>
      <c r="B202" s="106">
        <v>46531</v>
      </c>
      <c r="C202" s="101">
        <v>0.58940000000000003</v>
      </c>
    </row>
    <row r="203" spans="1:3" ht="15" customHeight="1">
      <c r="A203" s="103" t="s">
        <v>312</v>
      </c>
      <c r="B203" s="105">
        <v>46538</v>
      </c>
      <c r="C203" s="98">
        <v>0.59709999999999996</v>
      </c>
    </row>
    <row r="204" spans="1:3" ht="15" customHeight="1">
      <c r="A204" s="103" t="s">
        <v>312</v>
      </c>
      <c r="B204" s="106">
        <v>46545</v>
      </c>
      <c r="C204" s="101">
        <v>0.60470000000000002</v>
      </c>
    </row>
    <row r="205" spans="1:3" ht="15" customHeight="1">
      <c r="A205" s="103" t="s">
        <v>312</v>
      </c>
      <c r="B205" s="105">
        <v>46552</v>
      </c>
      <c r="C205" s="98">
        <v>0.61229999999999996</v>
      </c>
    </row>
    <row r="206" spans="1:3" ht="15" customHeight="1">
      <c r="A206" s="103" t="s">
        <v>312</v>
      </c>
      <c r="B206" s="106">
        <v>46559</v>
      </c>
      <c r="C206" s="101">
        <v>0.61980000000000002</v>
      </c>
    </row>
    <row r="207" spans="1:3" ht="15" customHeight="1">
      <c r="A207" s="103" t="s">
        <v>312</v>
      </c>
      <c r="B207" s="105">
        <v>46566</v>
      </c>
      <c r="C207" s="98">
        <v>0.62729999999999997</v>
      </c>
    </row>
    <row r="208" spans="1:3" ht="15" customHeight="1">
      <c r="A208" s="103" t="s">
        <v>312</v>
      </c>
      <c r="B208" s="106">
        <v>46573</v>
      </c>
      <c r="C208" s="101">
        <v>0.63480000000000003</v>
      </c>
    </row>
    <row r="209" spans="1:3" ht="15" customHeight="1">
      <c r="A209" s="103" t="s">
        <v>312</v>
      </c>
      <c r="B209" s="105">
        <v>46580</v>
      </c>
      <c r="C209" s="98">
        <v>0.64219999999999999</v>
      </c>
    </row>
    <row r="210" spans="1:3" ht="15" customHeight="1">
      <c r="A210" s="103" t="s">
        <v>312</v>
      </c>
      <c r="B210" s="106">
        <v>46587</v>
      </c>
      <c r="C210" s="101">
        <v>0.64949999999999997</v>
      </c>
    </row>
    <row r="211" spans="1:3" ht="15" customHeight="1">
      <c r="A211" s="103" t="s">
        <v>312</v>
      </c>
      <c r="B211" s="105">
        <v>46594</v>
      </c>
      <c r="C211" s="98">
        <v>0.65680000000000005</v>
      </c>
    </row>
    <row r="212" spans="1:3" ht="15" customHeight="1">
      <c r="A212" s="103" t="s">
        <v>312</v>
      </c>
      <c r="B212" s="106">
        <v>46601</v>
      </c>
      <c r="C212" s="101">
        <v>0.66400000000000003</v>
      </c>
    </row>
    <row r="213" spans="1:3" ht="15" customHeight="1">
      <c r="A213" s="103" t="s">
        <v>312</v>
      </c>
      <c r="B213" s="105">
        <v>46608</v>
      </c>
      <c r="C213" s="98">
        <v>0.67120000000000002</v>
      </c>
    </row>
    <row r="214" spans="1:3" ht="15" customHeight="1">
      <c r="A214" s="103" t="s">
        <v>312</v>
      </c>
      <c r="B214" s="106">
        <v>46615</v>
      </c>
      <c r="C214" s="101">
        <v>0.67830000000000001</v>
      </c>
    </row>
    <row r="215" spans="1:3" ht="15" customHeight="1">
      <c r="A215" s="103" t="s">
        <v>312</v>
      </c>
      <c r="B215" s="105">
        <v>46622</v>
      </c>
      <c r="C215" s="98">
        <v>0.68530000000000002</v>
      </c>
    </row>
    <row r="216" spans="1:3" ht="15" customHeight="1">
      <c r="A216" s="103" t="s">
        <v>312</v>
      </c>
      <c r="B216" s="106">
        <v>46629</v>
      </c>
      <c r="C216" s="101">
        <v>0.69230000000000003</v>
      </c>
    </row>
    <row r="217" spans="1:3" ht="15" customHeight="1">
      <c r="A217" s="103" t="s">
        <v>312</v>
      </c>
      <c r="B217" s="105">
        <v>46636</v>
      </c>
      <c r="C217" s="98">
        <v>0.69920000000000004</v>
      </c>
    </row>
    <row r="218" spans="1:3" ht="15" customHeight="1">
      <c r="A218" s="103" t="s">
        <v>312</v>
      </c>
      <c r="B218" s="106">
        <v>46643</v>
      </c>
      <c r="C218" s="101">
        <v>0.70599999999999996</v>
      </c>
    </row>
    <row r="219" spans="1:3" ht="15" customHeight="1">
      <c r="A219" s="103" t="s">
        <v>312</v>
      </c>
      <c r="B219" s="105">
        <v>46650</v>
      </c>
      <c r="C219" s="98">
        <v>0.71279999999999999</v>
      </c>
    </row>
    <row r="220" spans="1:3" ht="15" customHeight="1">
      <c r="A220" s="103" t="s">
        <v>312</v>
      </c>
      <c r="B220" s="106">
        <v>46657</v>
      </c>
      <c r="C220" s="101">
        <v>0.71950000000000003</v>
      </c>
    </row>
    <row r="221" spans="1:3" ht="15" customHeight="1">
      <c r="A221" s="103" t="s">
        <v>312</v>
      </c>
      <c r="B221" s="105">
        <v>46664</v>
      </c>
      <c r="C221" s="98">
        <v>0.72609999999999997</v>
      </c>
    </row>
    <row r="222" spans="1:3" ht="15" customHeight="1">
      <c r="A222" s="103" t="s">
        <v>312</v>
      </c>
      <c r="B222" s="106">
        <v>46671</v>
      </c>
      <c r="C222" s="101">
        <v>0.73260000000000003</v>
      </c>
    </row>
    <row r="223" spans="1:3" ht="15" customHeight="1">
      <c r="A223" s="103" t="s">
        <v>312</v>
      </c>
      <c r="B223" s="105">
        <v>46678</v>
      </c>
      <c r="C223" s="98">
        <v>0.73899999999999999</v>
      </c>
    </row>
    <row r="224" spans="1:3" ht="15" customHeight="1">
      <c r="A224" s="103" t="s">
        <v>312</v>
      </c>
      <c r="B224" s="106">
        <v>46685</v>
      </c>
      <c r="C224" s="101">
        <v>0.74539999999999995</v>
      </c>
    </row>
    <row r="225" spans="1:3" ht="15" customHeight="1">
      <c r="A225" s="103" t="s">
        <v>312</v>
      </c>
      <c r="B225" s="105">
        <v>46692</v>
      </c>
      <c r="C225" s="98">
        <v>0.75170000000000003</v>
      </c>
    </row>
    <row r="226" spans="1:3" ht="15" customHeight="1">
      <c r="A226" s="103" t="s">
        <v>312</v>
      </c>
      <c r="B226" s="106">
        <v>46699</v>
      </c>
      <c r="C226" s="101">
        <v>0.75790000000000002</v>
      </c>
    </row>
    <row r="227" spans="1:3" ht="15" customHeight="1">
      <c r="A227" s="103" t="s">
        <v>312</v>
      </c>
      <c r="B227" s="105">
        <v>46706</v>
      </c>
      <c r="C227" s="98">
        <v>0.7641</v>
      </c>
    </row>
    <row r="228" spans="1:3" ht="15" customHeight="1">
      <c r="A228" s="103" t="s">
        <v>312</v>
      </c>
      <c r="B228" s="106">
        <v>46713</v>
      </c>
      <c r="C228" s="101">
        <v>0.77010000000000001</v>
      </c>
    </row>
    <row r="229" spans="1:3" ht="15" customHeight="1">
      <c r="A229" s="103" t="s">
        <v>312</v>
      </c>
      <c r="B229" s="105">
        <v>46720</v>
      </c>
      <c r="C229" s="98">
        <v>0.77610000000000001</v>
      </c>
    </row>
    <row r="230" spans="1:3" ht="15" customHeight="1">
      <c r="A230" s="103" t="s">
        <v>312</v>
      </c>
      <c r="B230" s="106">
        <v>46727</v>
      </c>
      <c r="C230" s="101">
        <v>0.78190000000000004</v>
      </c>
    </row>
    <row r="231" spans="1:3" ht="15" customHeight="1">
      <c r="A231" s="103" t="s">
        <v>312</v>
      </c>
      <c r="B231" s="105">
        <v>46734</v>
      </c>
      <c r="C231" s="98">
        <v>0.78769999999999996</v>
      </c>
    </row>
    <row r="232" spans="1:3" ht="15" customHeight="1">
      <c r="A232" s="103" t="s">
        <v>312</v>
      </c>
      <c r="B232" s="106">
        <v>46741</v>
      </c>
      <c r="C232" s="101">
        <v>0.79339999999999999</v>
      </c>
    </row>
    <row r="233" spans="1:3" ht="15" customHeight="1">
      <c r="A233" s="103" t="s">
        <v>312</v>
      </c>
      <c r="B233" s="105">
        <v>46748</v>
      </c>
      <c r="C233" s="98">
        <v>0.79910000000000003</v>
      </c>
    </row>
    <row r="234" spans="1:3" ht="15" customHeight="1">
      <c r="A234" s="103" t="s">
        <v>312</v>
      </c>
      <c r="B234" s="106">
        <v>46755</v>
      </c>
      <c r="C234" s="101">
        <v>0.80459999999999998</v>
      </c>
    </row>
    <row r="235" spans="1:3" ht="15" customHeight="1">
      <c r="A235" s="103" t="s">
        <v>312</v>
      </c>
      <c r="B235" s="105">
        <v>46762</v>
      </c>
      <c r="C235" s="98">
        <v>0.81</v>
      </c>
    </row>
    <row r="236" spans="1:3" ht="15" customHeight="1">
      <c r="A236" s="103" t="s">
        <v>312</v>
      </c>
      <c r="B236" s="106">
        <v>46769</v>
      </c>
      <c r="C236" s="101">
        <v>0.81540000000000001</v>
      </c>
    </row>
    <row r="237" spans="1:3" ht="15" customHeight="1">
      <c r="A237" s="103" t="s">
        <v>312</v>
      </c>
      <c r="B237" s="105">
        <v>46776</v>
      </c>
      <c r="C237" s="98">
        <v>0.82069999999999999</v>
      </c>
    </row>
    <row r="238" spans="1:3" ht="15" customHeight="1">
      <c r="A238" s="103" t="s">
        <v>312</v>
      </c>
      <c r="B238" s="106">
        <v>46783</v>
      </c>
      <c r="C238" s="101">
        <v>0.82589999999999997</v>
      </c>
    </row>
    <row r="239" spans="1:3" ht="15" customHeight="1">
      <c r="A239" s="103" t="s">
        <v>312</v>
      </c>
      <c r="B239" s="105">
        <v>46790</v>
      </c>
      <c r="C239" s="98">
        <v>0.83099999999999996</v>
      </c>
    </row>
    <row r="240" spans="1:3" ht="15" customHeight="1">
      <c r="A240" s="103" t="s">
        <v>312</v>
      </c>
      <c r="B240" s="106">
        <v>46797</v>
      </c>
      <c r="C240" s="101">
        <v>0.83599999999999997</v>
      </c>
    </row>
    <row r="241" spans="1:3" ht="15" customHeight="1">
      <c r="A241" s="103" t="s">
        <v>312</v>
      </c>
      <c r="B241" s="105">
        <v>46804</v>
      </c>
      <c r="C241" s="98">
        <v>0.84089999999999998</v>
      </c>
    </row>
    <row r="242" spans="1:3" ht="15" customHeight="1">
      <c r="A242" s="103" t="s">
        <v>312</v>
      </c>
      <c r="B242" s="106">
        <v>46811</v>
      </c>
      <c r="C242" s="101">
        <v>0.8458</v>
      </c>
    </row>
    <row r="243" spans="1:3" ht="15" customHeight="1">
      <c r="A243" s="103" t="s">
        <v>312</v>
      </c>
      <c r="B243" s="105">
        <v>46818</v>
      </c>
      <c r="C243" s="98">
        <v>0.85050000000000003</v>
      </c>
    </row>
    <row r="244" spans="1:3" ht="15" customHeight="1">
      <c r="A244" s="103" t="s">
        <v>312</v>
      </c>
      <c r="B244" s="106">
        <v>46825</v>
      </c>
      <c r="C244" s="101">
        <v>0.85519999999999996</v>
      </c>
    </row>
    <row r="245" spans="1:3" ht="15" customHeight="1">
      <c r="A245" s="103" t="s">
        <v>312</v>
      </c>
      <c r="B245" s="105">
        <v>46832</v>
      </c>
      <c r="C245" s="98">
        <v>0.85980000000000001</v>
      </c>
    </row>
    <row r="246" spans="1:3" ht="15" customHeight="1">
      <c r="A246" s="103" t="s">
        <v>312</v>
      </c>
      <c r="B246" s="106">
        <v>46839</v>
      </c>
      <c r="C246" s="101">
        <v>0.86429999999999996</v>
      </c>
    </row>
    <row r="247" spans="1:3" ht="15" customHeight="1">
      <c r="A247" s="103" t="s">
        <v>312</v>
      </c>
      <c r="B247" s="105">
        <v>46846</v>
      </c>
      <c r="C247" s="98">
        <v>0.86870000000000003</v>
      </c>
    </row>
    <row r="248" spans="1:3" ht="15" customHeight="1">
      <c r="A248" s="103" t="s">
        <v>312</v>
      </c>
      <c r="B248" s="106">
        <v>46853</v>
      </c>
      <c r="C248" s="101">
        <v>0.873</v>
      </c>
    </row>
    <row r="249" spans="1:3" ht="15" customHeight="1">
      <c r="A249" s="103" t="s">
        <v>312</v>
      </c>
      <c r="B249" s="105">
        <v>46860</v>
      </c>
      <c r="C249" s="98">
        <v>0.87729999999999997</v>
      </c>
    </row>
    <row r="250" spans="1:3" ht="15" customHeight="1">
      <c r="A250" s="103" t="s">
        <v>312</v>
      </c>
      <c r="B250" s="106">
        <v>46867</v>
      </c>
      <c r="C250" s="101">
        <v>0.88139999999999996</v>
      </c>
    </row>
    <row r="251" spans="1:3" ht="15" customHeight="1">
      <c r="A251" s="103" t="s">
        <v>312</v>
      </c>
      <c r="B251" s="105">
        <v>46874</v>
      </c>
      <c r="C251" s="98">
        <v>0.88549999999999995</v>
      </c>
    </row>
    <row r="252" spans="1:3" ht="15" customHeight="1">
      <c r="A252" s="103" t="s">
        <v>312</v>
      </c>
      <c r="B252" s="106">
        <v>46881</v>
      </c>
      <c r="C252" s="101">
        <v>0.88949999999999996</v>
      </c>
    </row>
    <row r="253" spans="1:3" ht="15" customHeight="1">
      <c r="A253" s="103" t="s">
        <v>312</v>
      </c>
      <c r="B253" s="105">
        <v>46888</v>
      </c>
      <c r="C253" s="98">
        <v>0.89349999999999996</v>
      </c>
    </row>
    <row r="254" spans="1:3" ht="15" customHeight="1">
      <c r="A254" s="103" t="s">
        <v>312</v>
      </c>
      <c r="B254" s="106">
        <v>46895</v>
      </c>
      <c r="C254" s="101">
        <v>0.89729999999999999</v>
      </c>
    </row>
    <row r="255" spans="1:3" ht="15" customHeight="1">
      <c r="A255" s="103" t="s">
        <v>312</v>
      </c>
      <c r="B255" s="105">
        <v>46902</v>
      </c>
      <c r="C255" s="98">
        <v>0.90110000000000001</v>
      </c>
    </row>
    <row r="256" spans="1:3" ht="15" customHeight="1">
      <c r="A256" s="103" t="s">
        <v>312</v>
      </c>
      <c r="B256" s="106">
        <v>46909</v>
      </c>
      <c r="C256" s="101">
        <v>0.90480000000000005</v>
      </c>
    </row>
    <row r="257" spans="1:3" ht="15" customHeight="1">
      <c r="A257" s="103" t="s">
        <v>312</v>
      </c>
      <c r="B257" s="105">
        <v>46916</v>
      </c>
      <c r="C257" s="98">
        <v>0.90839999999999999</v>
      </c>
    </row>
    <row r="258" spans="1:3" ht="15" customHeight="1">
      <c r="A258" s="103" t="s">
        <v>312</v>
      </c>
      <c r="B258" s="106">
        <v>46923</v>
      </c>
      <c r="C258" s="101">
        <v>0.91190000000000004</v>
      </c>
    </row>
    <row r="259" spans="1:3" ht="15" customHeight="1">
      <c r="A259" s="103" t="s">
        <v>312</v>
      </c>
      <c r="B259" s="105">
        <v>46930</v>
      </c>
      <c r="C259" s="98">
        <v>0.91539999999999999</v>
      </c>
    </row>
    <row r="260" spans="1:3" ht="15" customHeight="1">
      <c r="A260" s="103" t="s">
        <v>312</v>
      </c>
      <c r="B260" s="106">
        <v>46937</v>
      </c>
      <c r="C260" s="101">
        <v>0.91879999999999995</v>
      </c>
    </row>
    <row r="261" spans="1:3" ht="15" customHeight="1">
      <c r="A261" s="103" t="s">
        <v>312</v>
      </c>
      <c r="B261" s="105">
        <v>46944</v>
      </c>
      <c r="C261" s="98">
        <v>0.92210000000000003</v>
      </c>
    </row>
    <row r="262" spans="1:3" ht="15" customHeight="1">
      <c r="A262" s="103" t="s">
        <v>312</v>
      </c>
      <c r="B262" s="106">
        <v>46951</v>
      </c>
      <c r="C262" s="101">
        <v>0.9254</v>
      </c>
    </row>
    <row r="263" spans="1:3" ht="15" customHeight="1">
      <c r="A263" s="103" t="s">
        <v>312</v>
      </c>
      <c r="B263" s="105">
        <v>46958</v>
      </c>
      <c r="C263" s="98">
        <v>0.92849999999999999</v>
      </c>
    </row>
    <row r="264" spans="1:3" ht="15" customHeight="1">
      <c r="A264" s="103" t="s">
        <v>312</v>
      </c>
      <c r="B264" s="106">
        <v>46965</v>
      </c>
      <c r="C264" s="101">
        <v>0.93159999999999998</v>
      </c>
    </row>
    <row r="265" spans="1:3" ht="15" customHeight="1">
      <c r="A265" s="103" t="s">
        <v>312</v>
      </c>
      <c r="B265" s="105">
        <v>46972</v>
      </c>
      <c r="C265" s="98">
        <v>0.93469999999999998</v>
      </c>
    </row>
    <row r="266" spans="1:3" ht="15" customHeight="1">
      <c r="A266" s="103" t="s">
        <v>312</v>
      </c>
      <c r="B266" s="106">
        <v>46979</v>
      </c>
      <c r="C266" s="101">
        <v>0.93769999999999998</v>
      </c>
    </row>
    <row r="267" spans="1:3" ht="15" customHeight="1">
      <c r="A267" s="103" t="s">
        <v>312</v>
      </c>
      <c r="B267" s="105">
        <v>46986</v>
      </c>
      <c r="C267" s="98">
        <v>0.94059999999999999</v>
      </c>
    </row>
    <row r="268" spans="1:3" ht="15" customHeight="1">
      <c r="A268" s="103" t="s">
        <v>312</v>
      </c>
      <c r="B268" s="106">
        <v>46993</v>
      </c>
      <c r="C268" s="101">
        <v>0.94340000000000002</v>
      </c>
    </row>
    <row r="269" spans="1:3" ht="15" customHeight="1">
      <c r="A269" s="103" t="s">
        <v>312</v>
      </c>
      <c r="B269" s="105">
        <v>47000</v>
      </c>
      <c r="C269" s="98">
        <v>0.94620000000000004</v>
      </c>
    </row>
    <row r="270" spans="1:3" ht="15" customHeight="1">
      <c r="A270" s="103" t="s">
        <v>312</v>
      </c>
      <c r="B270" s="106">
        <v>47007</v>
      </c>
      <c r="C270" s="101">
        <v>0.94889999999999997</v>
      </c>
    </row>
    <row r="271" spans="1:3" ht="15" customHeight="1">
      <c r="A271" s="103" t="s">
        <v>312</v>
      </c>
      <c r="B271" s="105">
        <v>47014</v>
      </c>
      <c r="C271" s="98">
        <v>0.95150000000000001</v>
      </c>
    </row>
    <row r="272" spans="1:3" ht="15" customHeight="1">
      <c r="A272" s="103" t="s">
        <v>312</v>
      </c>
      <c r="B272" s="106">
        <v>47021</v>
      </c>
      <c r="C272" s="101">
        <v>0.95409999999999995</v>
      </c>
    </row>
    <row r="273" spans="1:3" ht="15" customHeight="1">
      <c r="A273" s="103" t="s">
        <v>312</v>
      </c>
      <c r="B273" s="105">
        <v>47028</v>
      </c>
      <c r="C273" s="98">
        <v>0.95669999999999999</v>
      </c>
    </row>
    <row r="274" spans="1:3" ht="15" customHeight="1">
      <c r="A274" s="103" t="s">
        <v>312</v>
      </c>
      <c r="B274" s="106">
        <v>47035</v>
      </c>
      <c r="C274" s="101">
        <v>0.95909999999999995</v>
      </c>
    </row>
    <row r="275" spans="1:3" ht="15" customHeight="1">
      <c r="A275" s="103" t="s">
        <v>312</v>
      </c>
      <c r="B275" s="105">
        <v>47042</v>
      </c>
      <c r="C275" s="98">
        <v>0.96150000000000002</v>
      </c>
    </row>
    <row r="276" spans="1:3" ht="15" customHeight="1">
      <c r="A276" s="103" t="s">
        <v>312</v>
      </c>
      <c r="B276" s="106">
        <v>47049</v>
      </c>
      <c r="C276" s="101">
        <v>0.96389999999999998</v>
      </c>
    </row>
    <row r="277" spans="1:3" ht="15" customHeight="1">
      <c r="A277" s="103" t="s">
        <v>312</v>
      </c>
      <c r="B277" s="105">
        <v>47056</v>
      </c>
      <c r="C277" s="98">
        <v>0.96619999999999995</v>
      </c>
    </row>
    <row r="278" spans="1:3" ht="15" customHeight="1">
      <c r="A278" s="103" t="s">
        <v>312</v>
      </c>
      <c r="B278" s="106">
        <v>47063</v>
      </c>
      <c r="C278" s="101">
        <v>0.96840000000000004</v>
      </c>
    </row>
    <row r="279" spans="1:3" ht="15" customHeight="1">
      <c r="A279" s="103" t="s">
        <v>312</v>
      </c>
      <c r="B279" s="105">
        <v>47070</v>
      </c>
      <c r="C279" s="98">
        <v>0.97060000000000002</v>
      </c>
    </row>
    <row r="280" spans="1:3" ht="15" customHeight="1">
      <c r="A280" s="103" t="s">
        <v>312</v>
      </c>
      <c r="B280" s="106">
        <v>47077</v>
      </c>
      <c r="C280" s="101">
        <v>0.9728</v>
      </c>
    </row>
    <row r="281" spans="1:3" ht="15" customHeight="1">
      <c r="A281" s="103" t="s">
        <v>312</v>
      </c>
      <c r="B281" s="105">
        <v>47084</v>
      </c>
      <c r="C281" s="98">
        <v>0.9748</v>
      </c>
    </row>
    <row r="282" spans="1:3" ht="15" customHeight="1">
      <c r="A282" s="103" t="s">
        <v>312</v>
      </c>
      <c r="B282" s="106">
        <v>47091</v>
      </c>
      <c r="C282" s="101">
        <v>0.97689999999999999</v>
      </c>
    </row>
    <row r="283" spans="1:3" ht="15" customHeight="1">
      <c r="A283" s="103" t="s">
        <v>312</v>
      </c>
      <c r="B283" s="105">
        <v>47098</v>
      </c>
      <c r="C283" s="98">
        <v>0.97889999999999999</v>
      </c>
    </row>
    <row r="284" spans="1:3" ht="15" customHeight="1">
      <c r="A284" s="103" t="s">
        <v>312</v>
      </c>
      <c r="B284" s="106">
        <v>47105</v>
      </c>
      <c r="C284" s="101">
        <v>0.98080000000000001</v>
      </c>
    </row>
    <row r="285" spans="1:3" ht="15" customHeight="1">
      <c r="A285" s="103" t="s">
        <v>312</v>
      </c>
      <c r="B285" s="105">
        <v>47112</v>
      </c>
      <c r="C285" s="98">
        <v>0.98270000000000002</v>
      </c>
    </row>
    <row r="286" spans="1:3" ht="15" customHeight="1">
      <c r="A286" s="103" t="s">
        <v>312</v>
      </c>
      <c r="B286" s="106">
        <v>47119</v>
      </c>
      <c r="C286" s="101">
        <v>0.98450000000000004</v>
      </c>
    </row>
    <row r="287" spans="1:3" ht="15" customHeight="1">
      <c r="A287" s="103" t="s">
        <v>312</v>
      </c>
      <c r="B287" s="105">
        <v>47126</v>
      </c>
      <c r="C287" s="98">
        <v>0.98629999999999995</v>
      </c>
    </row>
    <row r="288" spans="1:3" ht="15" customHeight="1">
      <c r="A288" s="103" t="s">
        <v>312</v>
      </c>
      <c r="B288" s="106">
        <v>47133</v>
      </c>
      <c r="C288" s="101">
        <v>0.98809999999999998</v>
      </c>
    </row>
    <row r="289" spans="1:3" ht="15" customHeight="1">
      <c r="A289" s="103" t="s">
        <v>312</v>
      </c>
      <c r="B289" s="105">
        <v>47140</v>
      </c>
      <c r="C289" s="98">
        <v>0.98980000000000001</v>
      </c>
    </row>
    <row r="290" spans="1:3" ht="15" customHeight="1">
      <c r="A290" s="103" t="s">
        <v>312</v>
      </c>
      <c r="B290" s="106">
        <v>47147</v>
      </c>
      <c r="C290" s="101">
        <v>0.99150000000000005</v>
      </c>
    </row>
    <row r="291" spans="1:3" ht="15" customHeight="1">
      <c r="A291" s="103" t="s">
        <v>312</v>
      </c>
      <c r="B291" s="105">
        <v>47154</v>
      </c>
      <c r="C291" s="98">
        <v>0.99309999999999998</v>
      </c>
    </row>
    <row r="292" spans="1:3" ht="15" customHeight="1">
      <c r="A292" s="103" t="s">
        <v>312</v>
      </c>
      <c r="B292" s="106">
        <v>47161</v>
      </c>
      <c r="C292" s="101">
        <v>0.99470000000000003</v>
      </c>
    </row>
    <row r="293" spans="1:3" ht="15" customHeight="1">
      <c r="A293" s="103" t="s">
        <v>312</v>
      </c>
      <c r="B293" s="105">
        <v>47168</v>
      </c>
      <c r="C293" s="98">
        <v>0.99619999999999997</v>
      </c>
    </row>
    <row r="294" spans="1:3" ht="15" customHeight="1">
      <c r="A294" s="103" t="s">
        <v>312</v>
      </c>
      <c r="B294" s="106">
        <v>47175</v>
      </c>
      <c r="C294" s="101">
        <v>0.99770000000000003</v>
      </c>
    </row>
    <row r="295" spans="1:3" ht="15" customHeight="1">
      <c r="A295" s="103" t="s">
        <v>312</v>
      </c>
      <c r="B295" s="105">
        <v>47182</v>
      </c>
      <c r="C295" s="98">
        <v>0.99919999999999998</v>
      </c>
    </row>
    <row r="296" spans="1:3" ht="15" customHeight="1">
      <c r="A296" s="103" t="s">
        <v>312</v>
      </c>
      <c r="B296" s="106">
        <v>47186</v>
      </c>
      <c r="C296" s="101">
        <v>1</v>
      </c>
    </row>
    <row r="297" spans="1:3" ht="15" customHeight="1">
      <c r="A297" s="103" t="s">
        <v>313</v>
      </c>
      <c r="B297" s="105">
        <v>45719</v>
      </c>
      <c r="C297" s="98">
        <v>8.3000000000000001E-3</v>
      </c>
    </row>
    <row r="298" spans="1:3" ht="15" customHeight="1">
      <c r="A298" s="103" t="s">
        <v>313</v>
      </c>
      <c r="B298" s="106">
        <v>45726</v>
      </c>
      <c r="C298" s="101">
        <v>3.2800000000000003E-2</v>
      </c>
    </row>
    <row r="299" spans="1:3" ht="15" customHeight="1">
      <c r="A299" s="103" t="s">
        <v>313</v>
      </c>
      <c r="B299" s="105">
        <v>45733</v>
      </c>
      <c r="C299" s="98">
        <v>6.59E-2</v>
      </c>
    </row>
    <row r="300" spans="1:3" ht="15" customHeight="1">
      <c r="A300" s="103" t="s">
        <v>313</v>
      </c>
      <c r="B300" s="106">
        <v>45740</v>
      </c>
      <c r="C300" s="101">
        <v>0.11</v>
      </c>
    </row>
    <row r="301" spans="1:3" ht="15" customHeight="1">
      <c r="A301" s="103" t="s">
        <v>313</v>
      </c>
      <c r="B301" s="105">
        <v>45747</v>
      </c>
      <c r="C301" s="98">
        <v>0.1668</v>
      </c>
    </row>
    <row r="302" spans="1:3" ht="15" customHeight="1">
      <c r="A302" s="103" t="s">
        <v>313</v>
      </c>
      <c r="B302" s="106">
        <v>45754</v>
      </c>
      <c r="C302" s="101">
        <v>0.23730000000000001</v>
      </c>
    </row>
    <row r="303" spans="1:3" ht="15" customHeight="1">
      <c r="A303" s="103" t="s">
        <v>313</v>
      </c>
      <c r="B303" s="105">
        <v>45761</v>
      </c>
      <c r="C303" s="98">
        <v>0.32100000000000001</v>
      </c>
    </row>
    <row r="304" spans="1:3" ht="15" customHeight="1">
      <c r="A304" s="103" t="s">
        <v>313</v>
      </c>
      <c r="B304" s="106">
        <v>45768</v>
      </c>
      <c r="C304" s="101">
        <v>0.41499999999999998</v>
      </c>
    </row>
    <row r="305" spans="1:3" ht="15" customHeight="1">
      <c r="A305" s="103" t="s">
        <v>313</v>
      </c>
      <c r="B305" s="105">
        <v>45775</v>
      </c>
      <c r="C305" s="98">
        <v>0.51429999999999998</v>
      </c>
    </row>
    <row r="306" spans="1:3" ht="15" customHeight="1">
      <c r="A306" s="103" t="s">
        <v>313</v>
      </c>
      <c r="B306" s="106">
        <v>45782</v>
      </c>
      <c r="C306" s="101">
        <v>0.61270000000000002</v>
      </c>
    </row>
    <row r="307" spans="1:3" ht="15" customHeight="1">
      <c r="A307" s="103" t="s">
        <v>313</v>
      </c>
      <c r="B307" s="105">
        <v>45789</v>
      </c>
      <c r="C307" s="98">
        <v>0.70420000000000005</v>
      </c>
    </row>
    <row r="308" spans="1:3" ht="15" customHeight="1">
      <c r="A308" s="103" t="s">
        <v>313</v>
      </c>
      <c r="B308" s="106">
        <v>45796</v>
      </c>
      <c r="C308" s="101">
        <v>0.7843</v>
      </c>
    </row>
    <row r="309" spans="1:3" ht="15" customHeight="1">
      <c r="A309" s="103" t="s">
        <v>313</v>
      </c>
      <c r="B309" s="105">
        <v>45803</v>
      </c>
      <c r="C309" s="98">
        <v>0.85089999999999999</v>
      </c>
    </row>
    <row r="310" spans="1:3" ht="15" customHeight="1">
      <c r="A310" s="103" t="s">
        <v>313</v>
      </c>
      <c r="B310" s="106">
        <v>45810</v>
      </c>
      <c r="C310" s="101">
        <v>0.90380000000000005</v>
      </c>
    </row>
    <row r="311" spans="1:3" ht="15" customHeight="1">
      <c r="A311" s="103" t="s">
        <v>313</v>
      </c>
      <c r="B311" s="105">
        <v>45817</v>
      </c>
      <c r="C311" s="98">
        <v>0.9446</v>
      </c>
    </row>
    <row r="312" spans="1:3" ht="15" customHeight="1">
      <c r="A312" s="103" t="s">
        <v>313</v>
      </c>
      <c r="B312" s="106">
        <v>45824</v>
      </c>
      <c r="C312" s="101">
        <v>0.97499999999999998</v>
      </c>
    </row>
    <row r="313" spans="1:3" ht="15" customHeight="1">
      <c r="A313" s="103" t="s">
        <v>313</v>
      </c>
      <c r="B313" s="105">
        <v>45831</v>
      </c>
      <c r="C313" s="98">
        <v>0.99739999999999995</v>
      </c>
    </row>
    <row r="314" spans="1:3" ht="15" customHeight="1">
      <c r="A314" s="103" t="s">
        <v>313</v>
      </c>
      <c r="B314" s="106">
        <v>45832</v>
      </c>
      <c r="C314" s="101">
        <v>1</v>
      </c>
    </row>
    <row r="315" spans="1:3" ht="15" customHeight="1">
      <c r="A315" s="103" t="s">
        <v>313</v>
      </c>
      <c r="B315" s="105">
        <v>45698</v>
      </c>
      <c r="C315" s="98">
        <v>3.3E-3</v>
      </c>
    </row>
    <row r="316" spans="1:3" ht="15" customHeight="1">
      <c r="A316" s="103" t="s">
        <v>313</v>
      </c>
      <c r="B316" s="106">
        <v>45705</v>
      </c>
      <c r="C316" s="101">
        <v>1.1900000000000001E-2</v>
      </c>
    </row>
    <row r="317" spans="1:3" ht="15" customHeight="1">
      <c r="A317" s="103" t="s">
        <v>313</v>
      </c>
      <c r="B317" s="105">
        <v>45712</v>
      </c>
      <c r="C317" s="98">
        <v>2.1700000000000001E-2</v>
      </c>
    </row>
    <row r="318" spans="1:3" ht="15" customHeight="1">
      <c r="A318" s="103" t="s">
        <v>313</v>
      </c>
      <c r="B318" s="106">
        <v>45719</v>
      </c>
      <c r="C318" s="101">
        <v>3.2800000000000003E-2</v>
      </c>
    </row>
    <row r="319" spans="1:3" ht="15" customHeight="1">
      <c r="A319" s="103" t="s">
        <v>313</v>
      </c>
      <c r="B319" s="105">
        <v>45726</v>
      </c>
      <c r="C319" s="98">
        <v>4.5499999999999999E-2</v>
      </c>
    </row>
    <row r="320" spans="1:3" ht="15" customHeight="1">
      <c r="A320" s="103" t="s">
        <v>313</v>
      </c>
      <c r="B320" s="106">
        <v>45733</v>
      </c>
      <c r="C320" s="101">
        <v>5.9799999999999999E-2</v>
      </c>
    </row>
    <row r="321" spans="1:3" ht="15" customHeight="1">
      <c r="A321" s="103" t="s">
        <v>313</v>
      </c>
      <c r="B321" s="105">
        <v>45740</v>
      </c>
      <c r="C321" s="98">
        <v>7.5999999999999998E-2</v>
      </c>
    </row>
    <row r="322" spans="1:3" ht="15" customHeight="1">
      <c r="A322" s="103" t="s">
        <v>313</v>
      </c>
      <c r="B322" s="106">
        <v>45747</v>
      </c>
      <c r="C322" s="101">
        <v>9.4200000000000006E-2</v>
      </c>
    </row>
    <row r="323" spans="1:3" ht="15" customHeight="1">
      <c r="A323" s="103" t="s">
        <v>313</v>
      </c>
      <c r="B323" s="105">
        <v>45754</v>
      </c>
      <c r="C323" s="98">
        <v>0.1145</v>
      </c>
    </row>
    <row r="324" spans="1:3" ht="15" customHeight="1">
      <c r="A324" s="103" t="s">
        <v>313</v>
      </c>
      <c r="B324" s="106">
        <v>45761</v>
      </c>
      <c r="C324" s="101">
        <v>0.13700000000000001</v>
      </c>
    </row>
    <row r="325" spans="1:3" ht="15" customHeight="1">
      <c r="A325" s="103" t="s">
        <v>313</v>
      </c>
      <c r="B325" s="105">
        <v>45768</v>
      </c>
      <c r="C325" s="98">
        <v>0.16189999999999999</v>
      </c>
    </row>
    <row r="326" spans="1:3" ht="15" customHeight="1">
      <c r="A326" s="103" t="s">
        <v>313</v>
      </c>
      <c r="B326" s="106">
        <v>45775</v>
      </c>
      <c r="C326" s="101">
        <v>0.18920000000000001</v>
      </c>
    </row>
    <row r="327" spans="1:3" ht="15" customHeight="1">
      <c r="A327" s="103" t="s">
        <v>313</v>
      </c>
      <c r="B327" s="105">
        <v>45782</v>
      </c>
      <c r="C327" s="98">
        <v>0.21890000000000001</v>
      </c>
    </row>
    <row r="328" spans="1:3" ht="15" customHeight="1">
      <c r="A328" s="103" t="s">
        <v>313</v>
      </c>
      <c r="B328" s="106">
        <v>45789</v>
      </c>
      <c r="C328" s="101">
        <v>0.251</v>
      </c>
    </row>
    <row r="329" spans="1:3" ht="15" customHeight="1">
      <c r="A329" s="103" t="s">
        <v>313</v>
      </c>
      <c r="B329" s="105">
        <v>45796</v>
      </c>
      <c r="C329" s="98">
        <v>0.28539999999999999</v>
      </c>
    </row>
    <row r="330" spans="1:3" ht="15" customHeight="1">
      <c r="A330" s="103" t="s">
        <v>313</v>
      </c>
      <c r="B330" s="106">
        <v>45803</v>
      </c>
      <c r="C330" s="101">
        <v>0.32179999999999997</v>
      </c>
    </row>
    <row r="331" spans="1:3" ht="15" customHeight="1">
      <c r="A331" s="103" t="s">
        <v>313</v>
      </c>
      <c r="B331" s="105">
        <v>45810</v>
      </c>
      <c r="C331" s="98">
        <v>0.36</v>
      </c>
    </row>
    <row r="332" spans="1:3" ht="15" customHeight="1">
      <c r="A332" s="103" t="s">
        <v>313</v>
      </c>
      <c r="B332" s="106">
        <v>45817</v>
      </c>
      <c r="C332" s="101">
        <v>0.39979999999999999</v>
      </c>
    </row>
    <row r="333" spans="1:3" ht="15" customHeight="1">
      <c r="A333" s="103" t="s">
        <v>313</v>
      </c>
      <c r="B333" s="105">
        <v>45824</v>
      </c>
      <c r="C333" s="98">
        <v>0.44059999999999999</v>
      </c>
    </row>
    <row r="334" spans="1:3" ht="15" customHeight="1">
      <c r="A334" s="103" t="s">
        <v>313</v>
      </c>
      <c r="B334" s="106">
        <v>45831</v>
      </c>
      <c r="C334" s="101">
        <v>0.48209999999999997</v>
      </c>
    </row>
    <row r="335" spans="1:3" ht="15" customHeight="1">
      <c r="A335" s="103" t="s">
        <v>313</v>
      </c>
      <c r="B335" s="105">
        <v>45838</v>
      </c>
      <c r="C335" s="98">
        <v>0.52380000000000004</v>
      </c>
    </row>
    <row r="336" spans="1:3" ht="15" customHeight="1">
      <c r="A336" s="103" t="s">
        <v>313</v>
      </c>
      <c r="B336" s="106">
        <v>45845</v>
      </c>
      <c r="C336" s="101">
        <v>0.56530000000000002</v>
      </c>
    </row>
    <row r="337" spans="1:3" ht="15" customHeight="1">
      <c r="A337" s="103" t="s">
        <v>313</v>
      </c>
      <c r="B337" s="105">
        <v>45852</v>
      </c>
      <c r="C337" s="98">
        <v>0.60599999999999998</v>
      </c>
    </row>
    <row r="338" spans="1:3" ht="15" customHeight="1">
      <c r="A338" s="103" t="s">
        <v>313</v>
      </c>
      <c r="B338" s="106">
        <v>45859</v>
      </c>
      <c r="C338" s="101">
        <v>0.64549999999999996</v>
      </c>
    </row>
    <row r="339" spans="1:3" ht="15" customHeight="1">
      <c r="A339" s="103" t="s">
        <v>313</v>
      </c>
      <c r="B339" s="105">
        <v>45866</v>
      </c>
      <c r="C339" s="98">
        <v>0.6835</v>
      </c>
    </row>
    <row r="340" spans="1:3" ht="15" customHeight="1">
      <c r="A340" s="103" t="s">
        <v>313</v>
      </c>
      <c r="B340" s="106">
        <v>45873</v>
      </c>
      <c r="C340" s="101">
        <v>0.71970000000000001</v>
      </c>
    </row>
    <row r="341" spans="1:3" ht="15" customHeight="1">
      <c r="A341" s="103" t="s">
        <v>313</v>
      </c>
      <c r="B341" s="105">
        <v>45880</v>
      </c>
      <c r="C341" s="98">
        <v>0.75370000000000004</v>
      </c>
    </row>
    <row r="342" spans="1:3" ht="15" customHeight="1">
      <c r="A342" s="103" t="s">
        <v>313</v>
      </c>
      <c r="B342" s="106">
        <v>45887</v>
      </c>
      <c r="C342" s="101">
        <v>0.78549999999999998</v>
      </c>
    </row>
    <row r="343" spans="1:3" ht="15" customHeight="1">
      <c r="A343" s="103" t="s">
        <v>313</v>
      </c>
      <c r="B343" s="105">
        <v>45894</v>
      </c>
      <c r="C343" s="98">
        <v>0.81489999999999996</v>
      </c>
    </row>
    <row r="344" spans="1:3" ht="15" customHeight="1">
      <c r="A344" s="103" t="s">
        <v>313</v>
      </c>
      <c r="B344" s="106">
        <v>45901</v>
      </c>
      <c r="C344" s="101">
        <v>0.84179999999999999</v>
      </c>
    </row>
    <row r="345" spans="1:3" ht="15" customHeight="1">
      <c r="A345" s="103" t="s">
        <v>313</v>
      </c>
      <c r="B345" s="105">
        <v>45908</v>
      </c>
      <c r="C345" s="98">
        <v>0.86639999999999995</v>
      </c>
    </row>
    <row r="346" spans="1:3" ht="15" customHeight="1">
      <c r="A346" s="103" t="s">
        <v>313</v>
      </c>
      <c r="B346" s="106">
        <v>45915</v>
      </c>
      <c r="C346" s="101">
        <v>0.88859999999999995</v>
      </c>
    </row>
    <row r="347" spans="1:3" ht="15" customHeight="1">
      <c r="A347" s="103" t="s">
        <v>313</v>
      </c>
      <c r="B347" s="105">
        <v>45922</v>
      </c>
      <c r="C347" s="98">
        <v>0.90859999999999996</v>
      </c>
    </row>
    <row r="348" spans="1:3" ht="15" customHeight="1">
      <c r="A348" s="103" t="s">
        <v>313</v>
      </c>
      <c r="B348" s="106">
        <v>45929</v>
      </c>
      <c r="C348" s="101">
        <v>0.9264</v>
      </c>
    </row>
    <row r="349" spans="1:3" ht="15" customHeight="1">
      <c r="A349" s="103" t="s">
        <v>313</v>
      </c>
      <c r="B349" s="105">
        <v>45936</v>
      </c>
      <c r="C349" s="98">
        <v>0.94230000000000003</v>
      </c>
    </row>
    <row r="350" spans="1:3" ht="15" customHeight="1">
      <c r="A350" s="103" t="s">
        <v>313</v>
      </c>
      <c r="B350" s="106">
        <v>45943</v>
      </c>
      <c r="C350" s="101">
        <v>0.95640000000000003</v>
      </c>
    </row>
    <row r="351" spans="1:3" ht="15" customHeight="1">
      <c r="A351" s="103" t="s">
        <v>313</v>
      </c>
      <c r="B351" s="105">
        <v>45950</v>
      </c>
      <c r="C351" s="98">
        <v>0.96889999999999998</v>
      </c>
    </row>
    <row r="352" spans="1:3" ht="15" customHeight="1">
      <c r="A352" s="103" t="s">
        <v>313</v>
      </c>
      <c r="B352" s="106">
        <v>45957</v>
      </c>
      <c r="C352" s="101">
        <v>0.9798</v>
      </c>
    </row>
    <row r="353" spans="1:3" ht="15" customHeight="1">
      <c r="A353" s="103" t="s">
        <v>313</v>
      </c>
      <c r="B353" s="105">
        <v>45964</v>
      </c>
      <c r="C353" s="98">
        <v>0.98939999999999995</v>
      </c>
    </row>
    <row r="354" spans="1:3" ht="15" customHeight="1">
      <c r="A354" s="103" t="s">
        <v>313</v>
      </c>
      <c r="B354" s="106">
        <v>45971</v>
      </c>
      <c r="C354" s="101">
        <v>0.99780000000000002</v>
      </c>
    </row>
    <row r="355" spans="1:3" ht="15" customHeight="1">
      <c r="A355" s="103" t="s">
        <v>313</v>
      </c>
      <c r="B355" s="105">
        <v>45973</v>
      </c>
      <c r="C355" s="98">
        <v>1</v>
      </c>
    </row>
    <row r="356" spans="1:3" ht="15" customHeight="1">
      <c r="A356" s="96" t="s">
        <v>361</v>
      </c>
      <c r="B356" s="106">
        <v>45719</v>
      </c>
      <c r="C356" s="101">
        <v>2.5000000000000001E-3</v>
      </c>
    </row>
    <row r="357" spans="1:3" ht="15" customHeight="1">
      <c r="A357" s="96" t="s">
        <v>361</v>
      </c>
      <c r="B357" s="105">
        <v>45726</v>
      </c>
      <c r="C357" s="98">
        <v>8.6E-3</v>
      </c>
    </row>
    <row r="358" spans="1:3" ht="15" customHeight="1">
      <c r="A358" s="96" t="s">
        <v>361</v>
      </c>
      <c r="B358" s="106">
        <v>45733</v>
      </c>
      <c r="C358" s="101">
        <v>1.54E-2</v>
      </c>
    </row>
    <row r="359" spans="1:3" ht="15" customHeight="1">
      <c r="A359" s="96" t="s">
        <v>361</v>
      </c>
      <c r="B359" s="105">
        <v>45740</v>
      </c>
      <c r="C359" s="98">
        <v>2.29E-2</v>
      </c>
    </row>
    <row r="360" spans="1:3" ht="15" customHeight="1">
      <c r="A360" s="96" t="s">
        <v>361</v>
      </c>
      <c r="B360" s="106">
        <v>45747</v>
      </c>
      <c r="C360" s="101">
        <v>3.1199999999999999E-2</v>
      </c>
    </row>
    <row r="361" spans="1:3" ht="15" customHeight="1">
      <c r="A361" s="96" t="s">
        <v>361</v>
      </c>
      <c r="B361" s="105">
        <v>45754</v>
      </c>
      <c r="C361" s="98">
        <v>4.0300000000000002E-2</v>
      </c>
    </row>
    <row r="362" spans="1:3" ht="15" customHeight="1">
      <c r="A362" s="96" t="s">
        <v>361</v>
      </c>
      <c r="B362" s="106">
        <v>45761</v>
      </c>
      <c r="C362" s="101">
        <v>5.0299999999999997E-2</v>
      </c>
    </row>
    <row r="363" spans="1:3" ht="15" customHeight="1">
      <c r="A363" s="96" t="s">
        <v>361</v>
      </c>
      <c r="B363" s="105">
        <v>45768</v>
      </c>
      <c r="C363" s="98">
        <v>6.13E-2</v>
      </c>
    </row>
    <row r="364" spans="1:3" ht="15" customHeight="1">
      <c r="A364" s="96" t="s">
        <v>361</v>
      </c>
      <c r="B364" s="106">
        <v>45775</v>
      </c>
      <c r="C364" s="101">
        <v>7.3200000000000001E-2</v>
      </c>
    </row>
    <row r="365" spans="1:3" ht="15" customHeight="1">
      <c r="A365" s="96" t="s">
        <v>361</v>
      </c>
      <c r="B365" s="105">
        <v>45782</v>
      </c>
      <c r="C365" s="98">
        <v>8.6300000000000002E-2</v>
      </c>
    </row>
    <row r="366" spans="1:3" ht="15" customHeight="1">
      <c r="A366" s="96" t="s">
        <v>361</v>
      </c>
      <c r="B366" s="106">
        <v>45789</v>
      </c>
      <c r="C366" s="101">
        <v>0.10050000000000001</v>
      </c>
    </row>
    <row r="367" spans="1:3" ht="15" customHeight="1">
      <c r="A367" s="96" t="s">
        <v>361</v>
      </c>
      <c r="B367" s="105">
        <v>45796</v>
      </c>
      <c r="C367" s="98">
        <v>0.1159</v>
      </c>
    </row>
    <row r="368" spans="1:3" ht="15" customHeight="1">
      <c r="A368" s="96" t="s">
        <v>361</v>
      </c>
      <c r="B368" s="106">
        <v>45803</v>
      </c>
      <c r="C368" s="101">
        <v>0.13250000000000001</v>
      </c>
    </row>
    <row r="369" spans="1:3" ht="15" customHeight="1">
      <c r="A369" s="96" t="s">
        <v>361</v>
      </c>
      <c r="B369" s="105">
        <v>45810</v>
      </c>
      <c r="C369" s="98">
        <v>0.15049999999999999</v>
      </c>
    </row>
    <row r="370" spans="1:3" ht="15" customHeight="1">
      <c r="A370" s="96" t="s">
        <v>361</v>
      </c>
      <c r="B370" s="106">
        <v>45817</v>
      </c>
      <c r="C370" s="101">
        <v>0.16969999999999999</v>
      </c>
    </row>
    <row r="371" spans="1:3" ht="15" customHeight="1">
      <c r="A371" s="96" t="s">
        <v>361</v>
      </c>
      <c r="B371" s="105">
        <v>45824</v>
      </c>
      <c r="C371" s="98">
        <v>0.1903</v>
      </c>
    </row>
    <row r="372" spans="1:3" ht="15" customHeight="1">
      <c r="A372" s="96" t="s">
        <v>361</v>
      </c>
      <c r="B372" s="106">
        <v>45831</v>
      </c>
      <c r="C372" s="101">
        <v>0.21229999999999999</v>
      </c>
    </row>
    <row r="373" spans="1:3" ht="15" customHeight="1">
      <c r="A373" s="96" t="s">
        <v>361</v>
      </c>
      <c r="B373" s="105">
        <v>45838</v>
      </c>
      <c r="C373" s="98">
        <v>0.23549999999999999</v>
      </c>
    </row>
    <row r="374" spans="1:3" ht="15" customHeight="1">
      <c r="A374" s="96" t="s">
        <v>361</v>
      </c>
      <c r="B374" s="106">
        <v>45845</v>
      </c>
      <c r="C374" s="101">
        <v>0.2601</v>
      </c>
    </row>
    <row r="375" spans="1:3" ht="15" customHeight="1">
      <c r="A375" s="96" t="s">
        <v>361</v>
      </c>
      <c r="B375" s="105">
        <v>45852</v>
      </c>
      <c r="C375" s="98">
        <v>0.2858</v>
      </c>
    </row>
    <row r="376" spans="1:3" ht="15" customHeight="1">
      <c r="A376" s="96" t="s">
        <v>361</v>
      </c>
      <c r="B376" s="106">
        <v>45859</v>
      </c>
      <c r="C376" s="101">
        <v>0.31269999999999998</v>
      </c>
    </row>
    <row r="377" spans="1:3" ht="15" customHeight="1">
      <c r="A377" s="96" t="s">
        <v>361</v>
      </c>
      <c r="B377" s="105">
        <v>45866</v>
      </c>
      <c r="C377" s="98">
        <v>0.3407</v>
      </c>
    </row>
    <row r="378" spans="1:3" ht="15" customHeight="1">
      <c r="A378" s="96" t="s">
        <v>361</v>
      </c>
      <c r="B378" s="106">
        <v>45873</v>
      </c>
      <c r="C378" s="101">
        <v>0.36959999999999998</v>
      </c>
    </row>
    <row r="379" spans="1:3" ht="15" customHeight="1">
      <c r="A379" s="96" t="s">
        <v>361</v>
      </c>
      <c r="B379" s="105">
        <v>45880</v>
      </c>
      <c r="C379" s="98">
        <v>0.3992</v>
      </c>
    </row>
    <row r="380" spans="1:3" ht="15" customHeight="1">
      <c r="A380" s="96" t="s">
        <v>361</v>
      </c>
      <c r="B380" s="106">
        <v>45887</v>
      </c>
      <c r="C380" s="101">
        <v>0.42949999999999999</v>
      </c>
    </row>
    <row r="381" spans="1:3" ht="15" customHeight="1">
      <c r="A381" s="96" t="s">
        <v>361</v>
      </c>
      <c r="B381" s="105">
        <v>45894</v>
      </c>
      <c r="C381" s="98">
        <v>0.4602</v>
      </c>
    </row>
    <row r="382" spans="1:3" ht="15" customHeight="1">
      <c r="A382" s="96" t="s">
        <v>361</v>
      </c>
      <c r="B382" s="106">
        <v>45901</v>
      </c>
      <c r="C382" s="101">
        <v>0.49109999999999998</v>
      </c>
    </row>
    <row r="383" spans="1:3" ht="15" customHeight="1">
      <c r="A383" s="96" t="s">
        <v>361</v>
      </c>
      <c r="B383" s="105">
        <v>45908</v>
      </c>
      <c r="C383" s="98">
        <v>0.52210000000000001</v>
      </c>
    </row>
    <row r="384" spans="1:3" ht="15" customHeight="1">
      <c r="A384" s="96" t="s">
        <v>361</v>
      </c>
      <c r="B384" s="106">
        <v>45915</v>
      </c>
      <c r="C384" s="101">
        <v>0.55300000000000005</v>
      </c>
    </row>
    <row r="385" spans="1:3" ht="15" customHeight="1">
      <c r="A385" s="96" t="s">
        <v>361</v>
      </c>
      <c r="B385" s="105">
        <v>45922</v>
      </c>
      <c r="C385" s="98">
        <v>0.58350000000000002</v>
      </c>
    </row>
    <row r="386" spans="1:3" ht="15" customHeight="1">
      <c r="A386" s="96" t="s">
        <v>361</v>
      </c>
      <c r="B386" s="106">
        <v>45929</v>
      </c>
      <c r="C386" s="101">
        <v>0.61360000000000003</v>
      </c>
    </row>
    <row r="387" spans="1:3" ht="15" customHeight="1">
      <c r="A387" s="96" t="s">
        <v>361</v>
      </c>
      <c r="B387" s="105">
        <v>45936</v>
      </c>
      <c r="C387" s="98">
        <v>0.64290000000000003</v>
      </c>
    </row>
    <row r="388" spans="1:3" ht="15" customHeight="1">
      <c r="A388" s="96" t="s">
        <v>361</v>
      </c>
      <c r="B388" s="106">
        <v>45943</v>
      </c>
      <c r="C388" s="101">
        <v>0.6714</v>
      </c>
    </row>
    <row r="389" spans="1:3" ht="15" customHeight="1">
      <c r="A389" s="96" t="s">
        <v>361</v>
      </c>
      <c r="B389" s="105">
        <v>45950</v>
      </c>
      <c r="C389" s="98">
        <v>0.69889999999999997</v>
      </c>
    </row>
    <row r="390" spans="1:3" ht="15" customHeight="1">
      <c r="A390" s="96" t="s">
        <v>361</v>
      </c>
      <c r="B390" s="106">
        <v>45957</v>
      </c>
      <c r="C390" s="101">
        <v>0.72540000000000004</v>
      </c>
    </row>
    <row r="391" spans="1:3" ht="15" customHeight="1">
      <c r="A391" s="96" t="s">
        <v>361</v>
      </c>
      <c r="B391" s="105">
        <v>45964</v>
      </c>
      <c r="C391" s="98">
        <v>0.75060000000000004</v>
      </c>
    </row>
    <row r="392" spans="1:3" ht="15" customHeight="1">
      <c r="A392" s="96" t="s">
        <v>361</v>
      </c>
      <c r="B392" s="106">
        <v>45971</v>
      </c>
      <c r="C392" s="101">
        <v>0.77459999999999996</v>
      </c>
    </row>
    <row r="393" spans="1:3" ht="15" customHeight="1">
      <c r="A393" s="96" t="s">
        <v>361</v>
      </c>
      <c r="B393" s="105">
        <v>45978</v>
      </c>
      <c r="C393" s="98">
        <v>0.79730000000000001</v>
      </c>
    </row>
    <row r="394" spans="1:3" ht="15" customHeight="1">
      <c r="A394" s="96" t="s">
        <v>361</v>
      </c>
      <c r="B394" s="106">
        <v>45985</v>
      </c>
      <c r="C394" s="101">
        <v>0.81869999999999998</v>
      </c>
    </row>
    <row r="395" spans="1:3" ht="15" customHeight="1">
      <c r="A395" s="96" t="s">
        <v>361</v>
      </c>
      <c r="B395" s="105">
        <v>45992</v>
      </c>
      <c r="C395" s="98">
        <v>0.8387</v>
      </c>
    </row>
    <row r="396" spans="1:3" ht="15" customHeight="1">
      <c r="A396" s="96" t="s">
        <v>361</v>
      </c>
      <c r="B396" s="106">
        <v>45999</v>
      </c>
      <c r="C396" s="101">
        <v>0.85740000000000005</v>
      </c>
    </row>
    <row r="397" spans="1:3" ht="15" customHeight="1">
      <c r="A397" s="96" t="s">
        <v>361</v>
      </c>
      <c r="B397" s="105">
        <v>46006</v>
      </c>
      <c r="C397" s="98">
        <v>0.87480000000000002</v>
      </c>
    </row>
    <row r="398" spans="1:3" ht="15" customHeight="1">
      <c r="A398" s="96" t="s">
        <v>361</v>
      </c>
      <c r="B398" s="106">
        <v>46013</v>
      </c>
      <c r="C398" s="101">
        <v>0.89090000000000003</v>
      </c>
    </row>
    <row r="399" spans="1:3" ht="15" customHeight="1">
      <c r="A399" s="96" t="s">
        <v>361</v>
      </c>
      <c r="B399" s="105">
        <v>46020</v>
      </c>
      <c r="C399" s="98">
        <v>0.90580000000000005</v>
      </c>
    </row>
    <row r="400" spans="1:3" ht="15" customHeight="1">
      <c r="A400" s="96" t="s">
        <v>361</v>
      </c>
      <c r="B400" s="106">
        <v>46027</v>
      </c>
      <c r="C400" s="101">
        <v>0.91949999999999998</v>
      </c>
    </row>
    <row r="401" spans="1:3" ht="15" customHeight="1">
      <c r="A401" s="96" t="s">
        <v>361</v>
      </c>
      <c r="B401" s="105">
        <v>46034</v>
      </c>
      <c r="C401" s="98">
        <v>0.93200000000000005</v>
      </c>
    </row>
    <row r="402" spans="1:3" ht="15" customHeight="1">
      <c r="A402" s="96" t="s">
        <v>361</v>
      </c>
      <c r="B402" s="106">
        <v>46041</v>
      </c>
      <c r="C402" s="101">
        <v>0.94359999999999999</v>
      </c>
    </row>
    <row r="403" spans="1:3" ht="15" customHeight="1">
      <c r="A403" s="96" t="s">
        <v>361</v>
      </c>
      <c r="B403" s="105">
        <v>46048</v>
      </c>
      <c r="C403" s="98">
        <v>0.95409999999999995</v>
      </c>
    </row>
    <row r="404" spans="1:3" ht="15" customHeight="1">
      <c r="A404" s="96" t="s">
        <v>361</v>
      </c>
      <c r="B404" s="106">
        <v>46055</v>
      </c>
      <c r="C404" s="101">
        <v>0.9637</v>
      </c>
    </row>
    <row r="405" spans="1:3" ht="15" customHeight="1">
      <c r="A405" s="96" t="s">
        <v>361</v>
      </c>
      <c r="B405" s="105">
        <v>46062</v>
      </c>
      <c r="C405" s="98">
        <v>0.97240000000000004</v>
      </c>
    </row>
    <row r="406" spans="1:3" ht="15" customHeight="1">
      <c r="A406" s="96" t="s">
        <v>361</v>
      </c>
      <c r="B406" s="106">
        <v>46069</v>
      </c>
      <c r="C406" s="101">
        <v>0.98040000000000005</v>
      </c>
    </row>
    <row r="407" spans="1:3" ht="15" customHeight="1">
      <c r="A407" s="96" t="s">
        <v>361</v>
      </c>
      <c r="B407" s="105">
        <v>46076</v>
      </c>
      <c r="C407" s="98">
        <v>0.98760000000000003</v>
      </c>
    </row>
    <row r="408" spans="1:3" ht="15" customHeight="1">
      <c r="A408" s="96" t="s">
        <v>361</v>
      </c>
      <c r="B408" s="106">
        <v>46083</v>
      </c>
      <c r="C408" s="101">
        <v>0.99409999999999998</v>
      </c>
    </row>
    <row r="409" spans="1:3" ht="15" customHeight="1">
      <c r="A409" s="96" t="s">
        <v>361</v>
      </c>
      <c r="B409" s="105">
        <v>46090</v>
      </c>
      <c r="C409" s="98">
        <v>1</v>
      </c>
    </row>
    <row r="410" spans="1:3" ht="15" customHeight="1">
      <c r="A410" s="96" t="s">
        <v>361</v>
      </c>
      <c r="B410" s="106">
        <v>46090</v>
      </c>
      <c r="C410" s="101">
        <v>1</v>
      </c>
    </row>
  </sheetData>
  <mergeCells count="1">
    <mergeCell ref="A1:C1"/>
  </mergeCells>
  <dataValidations count="1">
    <dataValidation type="list" allowBlank="1" showErrorMessage="1" errorTitle="Dato fuera de lista" error="Valor no válido. Escoge una opción de la lista." sqref="A3:A700" xr:uid="{00000000-0002-0000-0900-000000000000}">
      <formula1>Lista_Proyectos</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4472C4"/>
  </sheetPr>
  <dimension ref="A1:D17"/>
  <sheetViews>
    <sheetView showGridLines="0" zoomScaleNormal="100" workbookViewId="0">
      <pane xSplit="1" ySplit="2" topLeftCell="B3" activePane="bottomRight" state="frozen"/>
      <selection pane="bottomRight" activeCell="C3" sqref="C3"/>
      <selection pane="bottomLeft" activeCell="A3" sqref="A3"/>
      <selection pane="topRight" activeCell="B1" sqref="B1"/>
    </sheetView>
  </sheetViews>
  <sheetFormatPr defaultColWidth="8.7109375" defaultRowHeight="15"/>
  <cols>
    <col min="1" max="1" width="32" customWidth="1"/>
    <col min="2" max="2" width="14" customWidth="1"/>
    <col min="3" max="3" width="17" customWidth="1"/>
    <col min="4" max="4" width="35" customWidth="1"/>
  </cols>
  <sheetData>
    <row r="1" spans="1:4" ht="21.75" customHeight="1">
      <c r="A1" s="156" t="s">
        <v>824</v>
      </c>
      <c r="B1" s="156"/>
      <c r="C1" s="156"/>
      <c r="D1" s="156"/>
    </row>
    <row r="2" spans="1:4" ht="30" customHeight="1">
      <c r="A2" s="95" t="s">
        <v>120</v>
      </c>
      <c r="B2" s="95" t="s">
        <v>822</v>
      </c>
      <c r="C2" s="95" t="s">
        <v>825</v>
      </c>
      <c r="D2" s="95" t="s">
        <v>826</v>
      </c>
    </row>
    <row r="3" spans="1:4" ht="15" customHeight="1">
      <c r="A3" s="103" t="s">
        <v>132</v>
      </c>
      <c r="B3" s="105">
        <v>46162.869419212999</v>
      </c>
      <c r="C3" s="98">
        <v>0.9</v>
      </c>
      <c r="D3" s="97"/>
    </row>
    <row r="4" spans="1:4" ht="15" customHeight="1">
      <c r="A4" s="96" t="s">
        <v>358</v>
      </c>
      <c r="B4" s="106">
        <v>46162.869419212999</v>
      </c>
      <c r="C4" s="101">
        <v>0.17</v>
      </c>
      <c r="D4" s="100"/>
    </row>
    <row r="5" spans="1:4" ht="15" customHeight="1">
      <c r="A5" s="103" t="s">
        <v>313</v>
      </c>
      <c r="B5" s="105">
        <v>46162.869419212999</v>
      </c>
      <c r="C5" s="98">
        <v>0.18</v>
      </c>
      <c r="D5" s="97"/>
    </row>
    <row r="6" spans="1:4" ht="15" customHeight="1">
      <c r="A6" s="96" t="s">
        <v>361</v>
      </c>
      <c r="B6" s="106">
        <v>46162.869419212999</v>
      </c>
      <c r="C6" s="101">
        <v>0.71</v>
      </c>
      <c r="D6" s="100"/>
    </row>
    <row r="7" spans="1:4" ht="15" customHeight="1">
      <c r="A7" s="103" t="s">
        <v>227</v>
      </c>
      <c r="B7" s="105">
        <v>46162.869419212999</v>
      </c>
      <c r="C7" s="98">
        <v>0.77</v>
      </c>
      <c r="D7" s="97"/>
    </row>
    <row r="8" spans="1:4" ht="15" customHeight="1">
      <c r="A8" s="96" t="s">
        <v>354</v>
      </c>
      <c r="B8" s="106">
        <v>46162.869419212999</v>
      </c>
      <c r="C8" s="101">
        <v>0.99</v>
      </c>
      <c r="D8" s="100"/>
    </row>
    <row r="9" spans="1:4" ht="15" customHeight="1">
      <c r="A9" s="103" t="s">
        <v>312</v>
      </c>
      <c r="B9" s="105">
        <v>46162.869419212999</v>
      </c>
      <c r="C9" s="98">
        <v>0.18</v>
      </c>
      <c r="D9" s="97"/>
    </row>
    <row r="10" spans="1:4" ht="15" customHeight="1">
      <c r="A10" s="103" t="s">
        <v>339</v>
      </c>
      <c r="B10" s="106">
        <v>46162.869419212999</v>
      </c>
      <c r="C10" s="101">
        <v>0.16</v>
      </c>
      <c r="D10" s="100"/>
    </row>
    <row r="11" spans="1:4" ht="15" customHeight="1">
      <c r="A11" s="96" t="s">
        <v>345</v>
      </c>
      <c r="B11" s="105">
        <v>46162.869419212999</v>
      </c>
      <c r="C11" s="98">
        <v>0.99</v>
      </c>
      <c r="D11" s="97"/>
    </row>
    <row r="12" spans="1:4" ht="15" customHeight="1">
      <c r="A12" s="103" t="s">
        <v>264</v>
      </c>
      <c r="B12" s="106">
        <v>46162.869419212999</v>
      </c>
      <c r="C12" s="101">
        <v>0.39</v>
      </c>
      <c r="D12" s="100"/>
    </row>
    <row r="13" spans="1:4" ht="15" customHeight="1">
      <c r="A13" s="103" t="s">
        <v>311</v>
      </c>
      <c r="B13" s="105">
        <v>46162.869419212999</v>
      </c>
      <c r="C13" s="98">
        <v>0.06</v>
      </c>
      <c r="D13" s="97"/>
    </row>
    <row r="14" spans="1:4" ht="15" customHeight="1">
      <c r="A14" s="96" t="s">
        <v>728</v>
      </c>
      <c r="B14" s="106">
        <v>46162.869419212999</v>
      </c>
      <c r="C14" s="101">
        <v>0</v>
      </c>
      <c r="D14" s="100"/>
    </row>
    <row r="15" spans="1:4" ht="15" customHeight="1">
      <c r="A15" s="103" t="s">
        <v>736</v>
      </c>
      <c r="B15" s="105">
        <v>46162.869419212999</v>
      </c>
      <c r="C15" s="98">
        <v>1</v>
      </c>
      <c r="D15" s="97"/>
    </row>
    <row r="16" spans="1:4" ht="15" customHeight="1">
      <c r="A16" s="96" t="s">
        <v>350</v>
      </c>
      <c r="B16" s="106">
        <v>46162.869419212999</v>
      </c>
      <c r="C16" s="101">
        <v>0.18</v>
      </c>
      <c r="D16" s="100"/>
    </row>
    <row r="17" spans="1:4" ht="15" customHeight="1">
      <c r="A17" s="96" t="s">
        <v>371</v>
      </c>
      <c r="B17" s="105">
        <v>46162.869419212999</v>
      </c>
      <c r="C17" s="98">
        <v>0.16</v>
      </c>
      <c r="D17" s="97"/>
    </row>
  </sheetData>
  <mergeCells count="1">
    <mergeCell ref="A1:D1"/>
  </mergeCells>
  <dataValidations count="1">
    <dataValidation type="list" allowBlank="1" showErrorMessage="1" errorTitle="Dato fuera de lista" error="Valor no válido. Escoge una opción de la lista." sqref="A3:A700" xr:uid="{00000000-0002-0000-0A00-000000000000}">
      <formula1>Lista_Proyectos</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D100"/>
  <sheetViews>
    <sheetView showGridLines="0" zoomScaleNormal="100" workbookViewId="0">
      <pane xSplit="1" ySplit="2" topLeftCell="B3" activePane="bottomRight" state="frozen"/>
      <selection pane="bottomRight" activeCell="B19" sqref="B19"/>
      <selection pane="bottomLeft" activeCell="A3" sqref="A3"/>
      <selection pane="topRight" activeCell="B1" sqref="B1"/>
    </sheetView>
  </sheetViews>
  <sheetFormatPr defaultColWidth="8.7109375" defaultRowHeight="15"/>
  <cols>
    <col min="1" max="1" width="14" customWidth="1"/>
    <col min="2" max="2" width="36" customWidth="1"/>
    <col min="3" max="3" width="16" customWidth="1"/>
    <col min="4" max="4" width="15" customWidth="1"/>
  </cols>
  <sheetData>
    <row r="1" spans="1:4" ht="21.75" customHeight="1">
      <c r="A1" s="156" t="s">
        <v>827</v>
      </c>
      <c r="B1" s="156"/>
      <c r="C1" s="156"/>
    </row>
    <row r="2" spans="1:4" ht="30" customHeight="1">
      <c r="A2" s="95" t="s">
        <v>828</v>
      </c>
      <c r="B2" s="95" t="s">
        <v>829</v>
      </c>
      <c r="C2" s="95" t="s">
        <v>4</v>
      </c>
      <c r="D2" s="95" t="s">
        <v>830</v>
      </c>
    </row>
    <row r="3" spans="1:4" ht="15" customHeight="1">
      <c r="A3" s="97" t="s">
        <v>831</v>
      </c>
      <c r="B3" s="103" t="s">
        <v>132</v>
      </c>
      <c r="C3" s="97" t="s">
        <v>832</v>
      </c>
      <c r="D3" s="98">
        <f>IF($B3="","",IFERROR((SUMPRODUCT(('Avance Líneas'!$A$3:$A$560=$B3)*(('Avance Líneas'!$I$3:$I$560="Aprobado")+('Avance Líneas'!$I$3:$I$560="Cerrado")+('Avance Líneas'!$I$3:$I$560="Atención de comentarios")*0.8+('Avance Líneas'!$I$3:$I$560="En revisión")*0.75+('Avance Líneas'!$I$3:$I$560="En proceso")*0.5+('Avance Líneas'!$I$3:$I$560="Rechazado")*0.3))+SUMPRODUCT(('Avance Subestaciones'!$A$3:$A$428=$B3)*(('Avance Subestaciones'!$K$3:$K$428="Aprobado")+('Avance Subestaciones'!$K$3:$K$428="Cerrado")+('Avance Subestaciones'!$K$3:$K$428="Atención de comentarios")*0.8+('Avance Subestaciones'!$K$3:$K$428="En revisión")*0.75+('Avance Subestaciones'!$K$3:$K$428="En proceso")*0.5+('Avance Subestaciones'!$K$3:$K$428="Rechazado")*0.3)))/(COUNTIF('Avance Líneas'!$A$3:$A$560,$B3)+COUNTIF('Avance Subestaciones'!$A$3:$A$428,$B3)),""))</f>
        <v>0.64342105263157867</v>
      </c>
    </row>
    <row r="4" spans="1:4" ht="15" customHeight="1">
      <c r="A4" s="100" t="s">
        <v>833</v>
      </c>
      <c r="B4" s="103" t="s">
        <v>227</v>
      </c>
      <c r="C4" s="100" t="s">
        <v>832</v>
      </c>
      <c r="D4" s="98">
        <f>IF($B4="","",IFERROR((SUMPRODUCT(('Avance Líneas'!$A$3:$A$560=$B4)*(('Avance Líneas'!$I$3:$I$560="Aprobado")+('Avance Líneas'!$I$3:$I$560="Cerrado")+('Avance Líneas'!$I$3:$I$560="Atención de comentarios")*0.8+('Avance Líneas'!$I$3:$I$560="En revisión")*0.75+('Avance Líneas'!$I$3:$I$560="En proceso")*0.5+('Avance Líneas'!$I$3:$I$560="Rechazado")*0.3))+SUMPRODUCT(('Avance Subestaciones'!$A$3:$A$428=$B4)*(('Avance Subestaciones'!$K$3:$K$428="Aprobado")+('Avance Subestaciones'!$K$3:$K$428="Cerrado")+('Avance Subestaciones'!$K$3:$K$428="Atención de comentarios")*0.8+('Avance Subestaciones'!$K$3:$K$428="En revisión")*0.75+('Avance Subestaciones'!$K$3:$K$428="En proceso")*0.5+('Avance Subestaciones'!$K$3:$K$428="Rechazado")*0.3)))/(COUNTIF('Avance Líneas'!$A$3:$A$560,$B4)+COUNTIF('Avance Subestaciones'!$A$3:$A$428,$B4)),""))</f>
        <v>0.55188679245283023</v>
      </c>
    </row>
    <row r="5" spans="1:4" ht="15" customHeight="1">
      <c r="A5" s="97" t="s">
        <v>834</v>
      </c>
      <c r="B5" s="103" t="s">
        <v>264</v>
      </c>
      <c r="C5" s="97" t="s">
        <v>832</v>
      </c>
      <c r="D5" s="98">
        <f>IF($B5="","",IFERROR((SUMPRODUCT(('Avance Líneas'!$A$3:$A$560=$B5)*(('Avance Líneas'!$I$3:$I$560="Aprobado")+('Avance Líneas'!$I$3:$I$560="Cerrado")+('Avance Líneas'!$I$3:$I$560="Atención de comentarios")*0.8+('Avance Líneas'!$I$3:$I$560="En revisión")*0.75+('Avance Líneas'!$I$3:$I$560="En proceso")*0.5+('Avance Líneas'!$I$3:$I$560="Rechazado")*0.3))+SUMPRODUCT(('Avance Subestaciones'!$A$3:$A$428=$B5)*(('Avance Subestaciones'!$K$3:$K$428="Aprobado")+('Avance Subestaciones'!$K$3:$K$428="Cerrado")+('Avance Subestaciones'!$K$3:$K$428="Atención de comentarios")*0.8+('Avance Subestaciones'!$K$3:$K$428="En revisión")*0.75+('Avance Subestaciones'!$K$3:$K$428="En proceso")*0.5+('Avance Subestaciones'!$K$3:$K$428="Rechazado")*0.3)))/(COUNTIF('Avance Líneas'!$A$3:$A$560,$B5)+COUNTIF('Avance Subestaciones'!$A$3:$A$428,$B5)),""))</f>
        <v>0.52469135802469136</v>
      </c>
    </row>
    <row r="6" spans="1:4" ht="15" customHeight="1">
      <c r="A6" s="100" t="s">
        <v>835</v>
      </c>
      <c r="B6" s="103" t="s">
        <v>311</v>
      </c>
      <c r="C6" s="100" t="s">
        <v>832</v>
      </c>
      <c r="D6" s="98">
        <f>IF($B6="","",IFERROR((SUMPRODUCT(('Avance Líneas'!$A$3:$A$560=$B6)*(('Avance Líneas'!$I$3:$I$560="Aprobado")+('Avance Líneas'!$I$3:$I$560="Cerrado")+('Avance Líneas'!$I$3:$I$560="Atención de comentarios")*0.8+('Avance Líneas'!$I$3:$I$560="En revisión")*0.75+('Avance Líneas'!$I$3:$I$560="En proceso")*0.5+('Avance Líneas'!$I$3:$I$560="Rechazado")*0.3))+SUMPRODUCT(('Avance Subestaciones'!$A$3:$A$428=$B6)*(('Avance Subestaciones'!$K$3:$K$428="Aprobado")+('Avance Subestaciones'!$K$3:$K$428="Cerrado")+('Avance Subestaciones'!$K$3:$K$428="Atención de comentarios")*0.8+('Avance Subestaciones'!$K$3:$K$428="En revisión")*0.75+('Avance Subestaciones'!$K$3:$K$428="En proceso")*0.5+('Avance Subestaciones'!$K$3:$K$428="Rechazado")*0.3)))/(COUNTIF('Avance Líneas'!$A$3:$A$560,$B6)+COUNTIF('Avance Subestaciones'!$A$3:$A$428,$B6)),""))</f>
        <v>4.4444444444444446E-2</v>
      </c>
    </row>
    <row r="7" spans="1:4" ht="15" customHeight="1">
      <c r="A7" s="97" t="s">
        <v>836</v>
      </c>
      <c r="B7" s="103" t="s">
        <v>312</v>
      </c>
      <c r="C7" s="97" t="s">
        <v>832</v>
      </c>
      <c r="D7" s="98">
        <f>IF($B7="","",IFERROR((SUMPRODUCT(('Avance Líneas'!$A$3:$A$560=$B7)*(('Avance Líneas'!$I$3:$I$560="Aprobado")+('Avance Líneas'!$I$3:$I$560="Cerrado")+('Avance Líneas'!$I$3:$I$560="Atención de comentarios")*0.8+('Avance Líneas'!$I$3:$I$560="En revisión")*0.75+('Avance Líneas'!$I$3:$I$560="En proceso")*0.5+('Avance Líneas'!$I$3:$I$560="Rechazado")*0.3))+SUMPRODUCT(('Avance Subestaciones'!$A$3:$A$428=$B7)*(('Avance Subestaciones'!$K$3:$K$428="Aprobado")+('Avance Subestaciones'!$K$3:$K$428="Cerrado")+('Avance Subestaciones'!$K$3:$K$428="Atención de comentarios")*0.8+('Avance Subestaciones'!$K$3:$K$428="En revisión")*0.75+('Avance Subestaciones'!$K$3:$K$428="En proceso")*0.5+('Avance Subestaciones'!$K$3:$K$428="Rechazado")*0.3)))/(COUNTIF('Avance Líneas'!$A$3:$A$560,$B7)+COUNTIF('Avance Subestaciones'!$A$3:$A$428,$B7)),""))</f>
        <v>1.8518518518518517E-2</v>
      </c>
    </row>
    <row r="8" spans="1:4" ht="15" customHeight="1">
      <c r="A8" s="100" t="s">
        <v>837</v>
      </c>
      <c r="B8" s="103" t="s">
        <v>313</v>
      </c>
      <c r="C8" s="100" t="s">
        <v>832</v>
      </c>
      <c r="D8" s="98">
        <f>IF($B8="","",IFERROR((SUMPRODUCT(('Avance Líneas'!$A$3:$A$560=$B8)*(('Avance Líneas'!$I$3:$I$560="Aprobado")+('Avance Líneas'!$I$3:$I$560="Cerrado")+('Avance Líneas'!$I$3:$I$560="Atención de comentarios")*0.8+('Avance Líneas'!$I$3:$I$560="En revisión")*0.75+('Avance Líneas'!$I$3:$I$560="En proceso")*0.5+('Avance Líneas'!$I$3:$I$560="Rechazado")*0.3))+SUMPRODUCT(('Avance Subestaciones'!$A$3:$A$428=$B8)*(('Avance Subestaciones'!$K$3:$K$428="Aprobado")+('Avance Subestaciones'!$K$3:$K$428="Cerrado")+('Avance Subestaciones'!$K$3:$K$428="Atención de comentarios")*0.8+('Avance Subestaciones'!$K$3:$K$428="En revisión")*0.75+('Avance Subestaciones'!$K$3:$K$428="En proceso")*0.5+('Avance Subestaciones'!$K$3:$K$428="Rechazado")*0.3)))/(COUNTIF('Avance Líneas'!$A$3:$A$560,$B8)+COUNTIF('Avance Subestaciones'!$A$3:$A$428,$B8)),""))</f>
        <v>3.0864197530864196E-2</v>
      </c>
    </row>
    <row r="9" spans="1:4" ht="15" customHeight="1">
      <c r="A9" s="97" t="s">
        <v>838</v>
      </c>
      <c r="B9" s="96" t="s">
        <v>361</v>
      </c>
      <c r="C9" s="97" t="s">
        <v>839</v>
      </c>
      <c r="D9" s="98">
        <f>IF($B9="","",IFERROR((SUMPRODUCT(('Avance Líneas'!$A$3:$A$560=$B9)*(('Avance Líneas'!$I$3:$I$560="Aprobado")+('Avance Líneas'!$I$3:$I$560="Cerrado")+('Avance Líneas'!$I$3:$I$560="Atención de comentarios")*0.8+('Avance Líneas'!$I$3:$I$560="En revisión")*0.75+('Avance Líneas'!$I$3:$I$560="En proceso")*0.5+('Avance Líneas'!$I$3:$I$560="Rechazado")*0.3))+SUMPRODUCT(('Avance Subestaciones'!$A$3:$A$428=$B9)*(('Avance Subestaciones'!$K$3:$K$428="Aprobado")+('Avance Subestaciones'!$K$3:$K$428="Cerrado")+('Avance Subestaciones'!$K$3:$K$428="Atención de comentarios")*0.8+('Avance Subestaciones'!$K$3:$K$428="En revisión")*0.75+('Avance Subestaciones'!$K$3:$K$428="En proceso")*0.5+('Avance Subestaciones'!$K$3:$K$428="Rechazado")*0.3)))/(COUNTIF('Avance Líneas'!$A$3:$A$560,$B9)+COUNTIF('Avance Subestaciones'!$A$3:$A$428,$B9)),""))</f>
        <v>0.80088495575221241</v>
      </c>
    </row>
    <row r="10" spans="1:4" ht="15" customHeight="1">
      <c r="A10" s="100" t="s">
        <v>840</v>
      </c>
      <c r="B10" s="96" t="s">
        <v>354</v>
      </c>
      <c r="C10" s="100" t="s">
        <v>839</v>
      </c>
      <c r="D10" s="98">
        <f>IF($B10="","",IFERROR((SUMPRODUCT(('Avance Líneas'!$A$3:$A$560=$B10)*(('Avance Líneas'!$I$3:$I$560="Aprobado")+('Avance Líneas'!$I$3:$I$560="Cerrado")+('Avance Líneas'!$I$3:$I$560="Atención de comentarios")*0.8+('Avance Líneas'!$I$3:$I$560="En revisión")*0.75+('Avance Líneas'!$I$3:$I$560="En proceso")*0.5+('Avance Líneas'!$I$3:$I$560="Rechazado")*0.3))+SUMPRODUCT(('Avance Subestaciones'!$A$3:$A$428=$B10)*(('Avance Subestaciones'!$K$3:$K$428="Aprobado")+('Avance Subestaciones'!$K$3:$K$428="Cerrado")+('Avance Subestaciones'!$K$3:$K$428="Atención de comentarios")*0.8+('Avance Subestaciones'!$K$3:$K$428="En revisión")*0.75+('Avance Subestaciones'!$K$3:$K$428="En proceso")*0.5+('Avance Subestaciones'!$K$3:$K$428="Rechazado")*0.3)))/(COUNTIF('Avance Líneas'!$A$3:$A$560,$B10)+COUNTIF('Avance Subestaciones'!$A$3:$A$428,$B10)),""))</f>
        <v>0.64859154929577467</v>
      </c>
    </row>
    <row r="11" spans="1:4" ht="15" customHeight="1">
      <c r="A11" s="97" t="s">
        <v>841</v>
      </c>
      <c r="B11" s="96" t="s">
        <v>728</v>
      </c>
      <c r="C11" s="97" t="s">
        <v>839</v>
      </c>
      <c r="D11" s="98" t="str">
        <f>IF($B11="","",IFERROR((SUMPRODUCT(('Avance Líneas'!$A$3:$A$560=$B11)*(('Avance Líneas'!$I$3:$I$560="Aprobado")+('Avance Líneas'!$I$3:$I$560="Cerrado")+('Avance Líneas'!$I$3:$I$560="Atención de comentarios")*0.8+('Avance Líneas'!$I$3:$I$560="En revisión")*0.75+('Avance Líneas'!$I$3:$I$560="En proceso")*0.5+('Avance Líneas'!$I$3:$I$560="Rechazado")*0.3))+SUMPRODUCT(('Avance Subestaciones'!$A$3:$A$428=$B11)*(('Avance Subestaciones'!$K$3:$K$428="Aprobado")+('Avance Subestaciones'!$K$3:$K$428="Cerrado")+('Avance Subestaciones'!$K$3:$K$428="Atención de comentarios")*0.8+('Avance Subestaciones'!$K$3:$K$428="En revisión")*0.75+('Avance Subestaciones'!$K$3:$K$428="En proceso")*0.5+('Avance Subestaciones'!$K$3:$K$428="Rechazado")*0.3)))/(COUNTIF('Avance Líneas'!$A$3:$A$560,$B11)+COUNTIF('Avance Subestaciones'!$A$3:$A$428,$B11)),""))</f>
        <v/>
      </c>
    </row>
    <row r="12" spans="1:4" ht="15" customHeight="1">
      <c r="A12" s="100" t="s">
        <v>842</v>
      </c>
      <c r="B12" s="96" t="s">
        <v>345</v>
      </c>
      <c r="C12" s="100" t="s">
        <v>839</v>
      </c>
      <c r="D12" s="98">
        <f>IF($B12="","",IFERROR((SUMPRODUCT(('Avance Líneas'!$A$3:$A$560=$B12)*(('Avance Líneas'!$I$3:$I$560="Aprobado")+('Avance Líneas'!$I$3:$I$560="Cerrado")+('Avance Líneas'!$I$3:$I$560="Atención de comentarios")*0.8+('Avance Líneas'!$I$3:$I$560="En revisión")*0.75+('Avance Líneas'!$I$3:$I$560="En proceso")*0.5+('Avance Líneas'!$I$3:$I$560="Rechazado")*0.3))+SUMPRODUCT(('Avance Subestaciones'!$A$3:$A$428=$B12)*(('Avance Subestaciones'!$K$3:$K$428="Aprobado")+('Avance Subestaciones'!$K$3:$K$428="Cerrado")+('Avance Subestaciones'!$K$3:$K$428="Atención de comentarios")*0.8+('Avance Subestaciones'!$K$3:$K$428="En revisión")*0.75+('Avance Subestaciones'!$K$3:$K$428="En proceso")*0.5+('Avance Subestaciones'!$K$3:$K$428="Rechazado")*0.3)))/(COUNTIF('Avance Líneas'!$A$3:$A$560,$B12)+COUNTIF('Avance Subestaciones'!$A$3:$A$428,$B12)),""))</f>
        <v>0.85227272727272718</v>
      </c>
    </row>
    <row r="13" spans="1:4" ht="25.5" customHeight="1">
      <c r="A13" s="97" t="s">
        <v>843</v>
      </c>
      <c r="B13" s="96" t="s">
        <v>358</v>
      </c>
      <c r="C13" s="97" t="s">
        <v>839</v>
      </c>
      <c r="D13" s="98">
        <f>IF($B13="","",IFERROR((SUMPRODUCT(('Avance Líneas'!$A$3:$A$560=$B13)*(('Avance Líneas'!$I$3:$I$560="Aprobado")+('Avance Líneas'!$I$3:$I$560="Cerrado")+('Avance Líneas'!$I$3:$I$560="Atención de comentarios")*0.8+('Avance Líneas'!$I$3:$I$560="En revisión")*0.75+('Avance Líneas'!$I$3:$I$560="En proceso")*0.5+('Avance Líneas'!$I$3:$I$560="Rechazado")*0.3))+SUMPRODUCT(('Avance Subestaciones'!$A$3:$A$428=$B13)*(('Avance Subestaciones'!$K$3:$K$428="Aprobado")+('Avance Subestaciones'!$K$3:$K$428="Cerrado")+('Avance Subestaciones'!$K$3:$K$428="Atención de comentarios")*0.8+('Avance Subestaciones'!$K$3:$K$428="En revisión")*0.75+('Avance Subestaciones'!$K$3:$K$428="En proceso")*0.5+('Avance Subestaciones'!$K$3:$K$428="Rechazado")*0.3)))/(COUNTIF('Avance Líneas'!$A$3:$A$560,$B13)+COUNTIF('Avance Subestaciones'!$A$3:$A$428,$B13)),""))</f>
        <v>0.45</v>
      </c>
    </row>
    <row r="14" spans="1:4" ht="15" customHeight="1">
      <c r="A14" s="100" t="s">
        <v>844</v>
      </c>
      <c r="B14" s="103" t="s">
        <v>736</v>
      </c>
      <c r="C14" s="100" t="s">
        <v>832</v>
      </c>
      <c r="D14" s="98" t="str">
        <f>IF($B14="","",IFERROR((SUMPRODUCT(('Avance Líneas'!$A$3:$A$560=$B14)*(('Avance Líneas'!$I$3:$I$560="Aprobado")+('Avance Líneas'!$I$3:$I$560="Cerrado")+('Avance Líneas'!$I$3:$I$560="Atención de comentarios")*0.8+('Avance Líneas'!$I$3:$I$560="En revisión")*0.75+('Avance Líneas'!$I$3:$I$560="En proceso")*0.5+('Avance Líneas'!$I$3:$I$560="Rechazado")*0.3))+SUMPRODUCT(('Avance Subestaciones'!$A$3:$A$428=$B14)*(('Avance Subestaciones'!$K$3:$K$428="Aprobado")+('Avance Subestaciones'!$K$3:$K$428="Cerrado")+('Avance Subestaciones'!$K$3:$K$428="Atención de comentarios")*0.8+('Avance Subestaciones'!$K$3:$K$428="En revisión")*0.75+('Avance Subestaciones'!$K$3:$K$428="En proceso")*0.5+('Avance Subestaciones'!$K$3:$K$428="Rechazado")*0.3)))/(COUNTIF('Avance Líneas'!$A$3:$A$560,$B14)+COUNTIF('Avance Subestaciones'!$A$3:$A$428,$B14)),""))</f>
        <v/>
      </c>
    </row>
    <row r="15" spans="1:4" ht="15" customHeight="1">
      <c r="A15" s="97" t="s">
        <v>845</v>
      </c>
      <c r="B15" s="103" t="s">
        <v>339</v>
      </c>
      <c r="C15" s="97" t="s">
        <v>832</v>
      </c>
      <c r="D15" s="98">
        <f>IF($B15="","",IFERROR((SUMPRODUCT(('Avance Líneas'!$A$3:$A$560=$B15)*(('Avance Líneas'!$I$3:$I$560="Aprobado")+('Avance Líneas'!$I$3:$I$560="Cerrado")+('Avance Líneas'!$I$3:$I$560="Atención de comentarios")*0.8+('Avance Líneas'!$I$3:$I$560="En revisión")*0.75+('Avance Líneas'!$I$3:$I$560="En proceso")*0.5+('Avance Líneas'!$I$3:$I$560="Rechazado")*0.3))+SUMPRODUCT(('Avance Subestaciones'!$A$3:$A$428=$B15)*(('Avance Subestaciones'!$K$3:$K$428="Aprobado")+('Avance Subestaciones'!$K$3:$K$428="Cerrado")+('Avance Subestaciones'!$K$3:$K$428="Atención de comentarios")*0.8+('Avance Subestaciones'!$K$3:$K$428="En revisión")*0.75+('Avance Subestaciones'!$K$3:$K$428="En proceso")*0.5+('Avance Subestaciones'!$K$3:$K$428="Rechazado")*0.3)))/(COUNTIF('Avance Líneas'!$A$3:$A$560,$B15)+COUNTIF('Avance Subestaciones'!$A$3:$A$428,$B15)),""))</f>
        <v>0</v>
      </c>
    </row>
    <row r="16" spans="1:4" ht="15" customHeight="1">
      <c r="A16" s="100" t="s">
        <v>846</v>
      </c>
      <c r="B16" s="96" t="s">
        <v>350</v>
      </c>
      <c r="C16" s="100" t="s">
        <v>839</v>
      </c>
      <c r="D16" s="98">
        <f>IF($B16="","",IFERROR((SUMPRODUCT(('Avance Líneas'!$A$3:$A$560=$B16)*(('Avance Líneas'!$I$3:$I$560="Aprobado")+('Avance Líneas'!$I$3:$I$560="Cerrado")+('Avance Líneas'!$I$3:$I$560="Atención de comentarios")*0.8+('Avance Líneas'!$I$3:$I$560="En revisión")*0.75+('Avance Líneas'!$I$3:$I$560="En proceso")*0.5+('Avance Líneas'!$I$3:$I$560="Rechazado")*0.3))+SUMPRODUCT(('Avance Subestaciones'!$A$3:$A$428=$B16)*(('Avance Subestaciones'!$K$3:$K$428="Aprobado")+('Avance Subestaciones'!$K$3:$K$428="Cerrado")+('Avance Subestaciones'!$K$3:$K$428="Atención de comentarios")*0.8+('Avance Subestaciones'!$K$3:$K$428="En revisión")*0.75+('Avance Subestaciones'!$K$3:$K$428="En proceso")*0.5+('Avance Subestaciones'!$K$3:$K$428="Rechazado")*0.3)))/(COUNTIF('Avance Líneas'!$A$3:$A$560,$B16)+COUNTIF('Avance Subestaciones'!$A$3:$A$428,$B16)),""))</f>
        <v>0.85000000000000009</v>
      </c>
    </row>
    <row r="17" spans="1:4" ht="15" customHeight="1">
      <c r="A17" s="97" t="s">
        <v>847</v>
      </c>
      <c r="B17" s="96" t="s">
        <v>371</v>
      </c>
      <c r="C17" s="97" t="s">
        <v>839</v>
      </c>
      <c r="D17" s="98">
        <f>IF($B17="","",IFERROR((SUMPRODUCT(('Avance Líneas'!$A$3:$A$560=$B17)*(('Avance Líneas'!$I$3:$I$560="Aprobado")+('Avance Líneas'!$I$3:$I$560="Cerrado")+('Avance Líneas'!$I$3:$I$560="Atención de comentarios")*0.8+('Avance Líneas'!$I$3:$I$560="En revisión")*0.75+('Avance Líneas'!$I$3:$I$560="En proceso")*0.5+('Avance Líneas'!$I$3:$I$560="Rechazado")*0.3))+SUMPRODUCT(('Avance Subestaciones'!$A$3:$A$428=$B17)*(('Avance Subestaciones'!$K$3:$K$428="Aprobado")+('Avance Subestaciones'!$K$3:$K$428="Cerrado")+('Avance Subestaciones'!$K$3:$K$428="Atención de comentarios")*0.8+('Avance Subestaciones'!$K$3:$K$428="En revisión")*0.75+('Avance Subestaciones'!$K$3:$K$428="En proceso")*0.5+('Avance Subestaciones'!$K$3:$K$428="Rechazado")*0.3)))/(COUNTIF('Avance Líneas'!$A$3:$A$560,$B17)+COUNTIF('Avance Subestaciones'!$A$3:$A$428,$B17)),""))</f>
        <v>0.93333333333333324</v>
      </c>
    </row>
    <row r="18" spans="1:4" ht="15" customHeight="1">
      <c r="A18" s="97" t="s">
        <v>848</v>
      </c>
      <c r="B18" s="100" t="s">
        <v>610</v>
      </c>
      <c r="C18" s="97" t="s">
        <v>839</v>
      </c>
      <c r="D18" s="98">
        <f>IF($B18="","",IFERROR((SUMPRODUCT(('Avance Líneas'!$A$3:$A$560=$B18)*(('Avance Líneas'!$I$3:$I$560="Aprobado")+('Avance Líneas'!$I$3:$I$560="Cerrado")+('Avance Líneas'!$I$3:$I$560="Atención de comentarios")*0.8+('Avance Líneas'!$I$3:$I$560="En revisión")*0.75+('Avance Líneas'!$I$3:$I$560="En proceso")*0.5+('Avance Líneas'!$I$3:$I$560="Rechazado")*0.3))+SUMPRODUCT(('Avance Subestaciones'!$A$3:$A$428=$B18)*(('Avance Subestaciones'!$K$3:$K$428="Aprobado")+('Avance Subestaciones'!$K$3:$K$428="Cerrado")+('Avance Subestaciones'!$K$3:$K$428="Atención de comentarios")*0.8+('Avance Subestaciones'!$K$3:$K$428="En revisión")*0.75+('Avance Subestaciones'!$K$3:$K$428="En proceso")*0.5+('Avance Subestaciones'!$K$3:$K$428="Rechazado")*0.3)))/(COUNTIF('Avance Líneas'!$A$3:$A$560,$B18)+COUNTIF('Avance Subestaciones'!$A$3:$A$428,$B18)),""))</f>
        <v>0.92647058823529416</v>
      </c>
    </row>
    <row r="19" spans="1:4" ht="15" customHeight="1">
      <c r="A19" s="97"/>
      <c r="B19" s="97"/>
      <c r="C19" s="97"/>
      <c r="D19" s="98" t="str">
        <f>IF($B19="","",IFERROR((SUMPRODUCT(('Avance Líneas'!$A$3:$A$560=$B19)*(('Avance Líneas'!$I$3:$I$560="Aprobado")+('Avance Líneas'!$I$3:$I$560="Cerrado")+('Avance Líneas'!$I$3:$I$560="Atención de comentarios")*0.8+('Avance Líneas'!$I$3:$I$560="En revisión")*0.75+('Avance Líneas'!$I$3:$I$560="En proceso")*0.5+('Avance Líneas'!$I$3:$I$560="Rechazado")*0.3))+SUMPRODUCT(('Avance Subestaciones'!$A$3:$A$428=$B19)*(('Avance Subestaciones'!$K$3:$K$428="Aprobado")+('Avance Subestaciones'!$K$3:$K$428="Cerrado")+('Avance Subestaciones'!$K$3:$K$428="Atención de comentarios")*0.8+('Avance Subestaciones'!$K$3:$K$428="En revisión")*0.75+('Avance Subestaciones'!$K$3:$K$428="En proceso")*0.5+('Avance Subestaciones'!$K$3:$K$428="Rechazado")*0.3)))/(COUNTIF('Avance Líneas'!$A$3:$A$560,$B19)+COUNTIF('Avance Subestaciones'!$A$3:$A$428,$B19)),""))</f>
        <v/>
      </c>
    </row>
    <row r="20" spans="1:4" ht="15" customHeight="1">
      <c r="A20" s="100"/>
      <c r="B20" s="100"/>
      <c r="C20" s="100"/>
      <c r="D20" s="98" t="str">
        <f>IF($B20="","",IFERROR((SUMPRODUCT(('Avance Líneas'!$A$3:$A$560=$B20)*(('Avance Líneas'!$I$3:$I$560="Aprobado")+('Avance Líneas'!$I$3:$I$560="Cerrado")+('Avance Líneas'!$I$3:$I$560="Atención de comentarios")*0.8+('Avance Líneas'!$I$3:$I$560="En revisión")*0.75+('Avance Líneas'!$I$3:$I$560="En proceso")*0.5+('Avance Líneas'!$I$3:$I$560="Rechazado")*0.3))+SUMPRODUCT(('Avance Subestaciones'!$A$3:$A$428=$B20)*(('Avance Subestaciones'!$K$3:$K$428="Aprobado")+('Avance Subestaciones'!$K$3:$K$428="Cerrado")+('Avance Subestaciones'!$K$3:$K$428="Atención de comentarios")*0.8+('Avance Subestaciones'!$K$3:$K$428="En revisión")*0.75+('Avance Subestaciones'!$K$3:$K$428="En proceso")*0.5+('Avance Subestaciones'!$K$3:$K$428="Rechazado")*0.3)))/(COUNTIF('Avance Líneas'!$A$3:$A$560,$B20)+COUNTIF('Avance Subestaciones'!$A$3:$A$428,$B20)),""))</f>
        <v/>
      </c>
    </row>
    <row r="21" spans="1:4" ht="15" customHeight="1">
      <c r="A21" s="97"/>
      <c r="B21" s="97"/>
      <c r="C21" s="97"/>
      <c r="D21" s="98" t="str">
        <f>IF($B21="","",IFERROR((SUMPRODUCT(('Avance Líneas'!$A$3:$A$560=$B21)*(('Avance Líneas'!$I$3:$I$560="Aprobado")+('Avance Líneas'!$I$3:$I$560="Cerrado")+('Avance Líneas'!$I$3:$I$560="Atención de comentarios")*0.8+('Avance Líneas'!$I$3:$I$560="En revisión")*0.75+('Avance Líneas'!$I$3:$I$560="En proceso")*0.5+('Avance Líneas'!$I$3:$I$560="Rechazado")*0.3))+SUMPRODUCT(('Avance Subestaciones'!$A$3:$A$428=$B21)*(('Avance Subestaciones'!$K$3:$K$428="Aprobado")+('Avance Subestaciones'!$K$3:$K$428="Cerrado")+('Avance Subestaciones'!$K$3:$K$428="Atención de comentarios")*0.8+('Avance Subestaciones'!$K$3:$K$428="En revisión")*0.75+('Avance Subestaciones'!$K$3:$K$428="En proceso")*0.5+('Avance Subestaciones'!$K$3:$K$428="Rechazado")*0.3)))/(COUNTIF('Avance Líneas'!$A$3:$A$560,$B21)+COUNTIF('Avance Subestaciones'!$A$3:$A$428,$B21)),""))</f>
        <v/>
      </c>
    </row>
    <row r="22" spans="1:4" ht="15" customHeight="1">
      <c r="A22" s="100"/>
      <c r="B22" s="100"/>
      <c r="C22" s="100"/>
      <c r="D22" s="98" t="str">
        <f>IF($B22="","",IFERROR((SUMPRODUCT(('Avance Líneas'!$A$3:$A$560=$B22)*(('Avance Líneas'!$I$3:$I$560="Aprobado")+('Avance Líneas'!$I$3:$I$560="Cerrado")+('Avance Líneas'!$I$3:$I$560="Atención de comentarios")*0.8+('Avance Líneas'!$I$3:$I$560="En revisión")*0.75+('Avance Líneas'!$I$3:$I$560="En proceso")*0.5+('Avance Líneas'!$I$3:$I$560="Rechazado")*0.3))+SUMPRODUCT(('Avance Subestaciones'!$A$3:$A$428=$B22)*(('Avance Subestaciones'!$K$3:$K$428="Aprobado")+('Avance Subestaciones'!$K$3:$K$428="Cerrado")+('Avance Subestaciones'!$K$3:$K$428="Atención de comentarios")*0.8+('Avance Subestaciones'!$K$3:$K$428="En revisión")*0.75+('Avance Subestaciones'!$K$3:$K$428="En proceso")*0.5+('Avance Subestaciones'!$K$3:$K$428="Rechazado")*0.3)))/(COUNTIF('Avance Líneas'!$A$3:$A$560,$B22)+COUNTIF('Avance Subestaciones'!$A$3:$A$428,$B22)),""))</f>
        <v/>
      </c>
    </row>
    <row r="23" spans="1:4" ht="15" customHeight="1">
      <c r="A23" s="97"/>
      <c r="B23" s="97"/>
      <c r="C23" s="97"/>
      <c r="D23" s="98" t="str">
        <f>IF($B23="","",IFERROR((SUMPRODUCT(('Avance Líneas'!$A$3:$A$560=$B23)*(('Avance Líneas'!$I$3:$I$560="Aprobado")+('Avance Líneas'!$I$3:$I$560="Cerrado")+('Avance Líneas'!$I$3:$I$560="Atención de comentarios")*0.8+('Avance Líneas'!$I$3:$I$560="En revisión")*0.75+('Avance Líneas'!$I$3:$I$560="En proceso")*0.5+('Avance Líneas'!$I$3:$I$560="Rechazado")*0.3))+SUMPRODUCT(('Avance Subestaciones'!$A$3:$A$428=$B23)*(('Avance Subestaciones'!$K$3:$K$428="Aprobado")+('Avance Subestaciones'!$K$3:$K$428="Cerrado")+('Avance Subestaciones'!$K$3:$K$428="Atención de comentarios")*0.8+('Avance Subestaciones'!$K$3:$K$428="En revisión")*0.75+('Avance Subestaciones'!$K$3:$K$428="En proceso")*0.5+('Avance Subestaciones'!$K$3:$K$428="Rechazado")*0.3)))/(COUNTIF('Avance Líneas'!$A$3:$A$560,$B23)+COUNTIF('Avance Subestaciones'!$A$3:$A$428,$B23)),""))</f>
        <v/>
      </c>
    </row>
    <row r="24" spans="1:4" ht="15" customHeight="1">
      <c r="A24" s="100"/>
      <c r="B24" s="100"/>
      <c r="C24" s="100"/>
      <c r="D24" s="98" t="str">
        <f>IF($B24="","",IFERROR((SUMPRODUCT(('Avance Líneas'!$A$3:$A$560=$B24)*(('Avance Líneas'!$I$3:$I$560="Aprobado")+('Avance Líneas'!$I$3:$I$560="Cerrado")+('Avance Líneas'!$I$3:$I$560="Atención de comentarios")*0.8+('Avance Líneas'!$I$3:$I$560="En revisión")*0.75+('Avance Líneas'!$I$3:$I$560="En proceso")*0.5+('Avance Líneas'!$I$3:$I$560="Rechazado")*0.3))+SUMPRODUCT(('Avance Subestaciones'!$A$3:$A$428=$B24)*(('Avance Subestaciones'!$K$3:$K$428="Aprobado")+('Avance Subestaciones'!$K$3:$K$428="Cerrado")+('Avance Subestaciones'!$K$3:$K$428="Atención de comentarios")*0.8+('Avance Subestaciones'!$K$3:$K$428="En revisión")*0.75+('Avance Subestaciones'!$K$3:$K$428="En proceso")*0.5+('Avance Subestaciones'!$K$3:$K$428="Rechazado")*0.3)))/(COUNTIF('Avance Líneas'!$A$3:$A$560,$B24)+COUNTIF('Avance Subestaciones'!$A$3:$A$428,$B24)),""))</f>
        <v/>
      </c>
    </row>
    <row r="25" spans="1:4" ht="15" customHeight="1">
      <c r="A25" s="97"/>
      <c r="B25" s="97"/>
      <c r="C25" s="97"/>
      <c r="D25" s="98" t="str">
        <f>IF($B25="","",IFERROR((SUMPRODUCT(('Avance Líneas'!$A$3:$A$560=$B25)*(('Avance Líneas'!$I$3:$I$560="Aprobado")+('Avance Líneas'!$I$3:$I$560="Cerrado")+('Avance Líneas'!$I$3:$I$560="Atención de comentarios")*0.8+('Avance Líneas'!$I$3:$I$560="En revisión")*0.75+('Avance Líneas'!$I$3:$I$560="En proceso")*0.5+('Avance Líneas'!$I$3:$I$560="Rechazado")*0.3))+SUMPRODUCT(('Avance Subestaciones'!$A$3:$A$428=$B25)*(('Avance Subestaciones'!$K$3:$K$428="Aprobado")+('Avance Subestaciones'!$K$3:$K$428="Cerrado")+('Avance Subestaciones'!$K$3:$K$428="Atención de comentarios")*0.8+('Avance Subestaciones'!$K$3:$K$428="En revisión")*0.75+('Avance Subestaciones'!$K$3:$K$428="En proceso")*0.5+('Avance Subestaciones'!$K$3:$K$428="Rechazado")*0.3)))/(COUNTIF('Avance Líneas'!$A$3:$A$560,$B25)+COUNTIF('Avance Subestaciones'!$A$3:$A$428,$B25)),""))</f>
        <v/>
      </c>
    </row>
    <row r="26" spans="1:4" ht="15" customHeight="1">
      <c r="A26" s="100"/>
      <c r="B26" s="100"/>
      <c r="C26" s="100"/>
      <c r="D26" s="98" t="str">
        <f>IF($B26="","",IFERROR((SUMPRODUCT(('Avance Líneas'!$A$3:$A$560=$B26)*(('Avance Líneas'!$I$3:$I$560="Aprobado")+('Avance Líneas'!$I$3:$I$560="Cerrado")+('Avance Líneas'!$I$3:$I$560="Atención de comentarios")*0.8+('Avance Líneas'!$I$3:$I$560="En revisión")*0.75+('Avance Líneas'!$I$3:$I$560="En proceso")*0.5+('Avance Líneas'!$I$3:$I$560="Rechazado")*0.3))+SUMPRODUCT(('Avance Subestaciones'!$A$3:$A$428=$B26)*(('Avance Subestaciones'!$K$3:$K$428="Aprobado")+('Avance Subestaciones'!$K$3:$K$428="Cerrado")+('Avance Subestaciones'!$K$3:$K$428="Atención de comentarios")*0.8+('Avance Subestaciones'!$K$3:$K$428="En revisión")*0.75+('Avance Subestaciones'!$K$3:$K$428="En proceso")*0.5+('Avance Subestaciones'!$K$3:$K$428="Rechazado")*0.3)))/(COUNTIF('Avance Líneas'!$A$3:$A$560,$B26)+COUNTIF('Avance Subestaciones'!$A$3:$A$428,$B26)),""))</f>
        <v/>
      </c>
    </row>
    <row r="27" spans="1:4" ht="15" customHeight="1">
      <c r="A27" s="97"/>
      <c r="B27" s="97"/>
      <c r="C27" s="97"/>
      <c r="D27" s="98" t="str">
        <f>IF($B27="","",IFERROR((SUMPRODUCT(('Avance Líneas'!$A$3:$A$560=$B27)*(('Avance Líneas'!$I$3:$I$560="Aprobado")+('Avance Líneas'!$I$3:$I$560="Cerrado")+('Avance Líneas'!$I$3:$I$560="Atención de comentarios")*0.8+('Avance Líneas'!$I$3:$I$560="En revisión")*0.75+('Avance Líneas'!$I$3:$I$560="En proceso")*0.5+('Avance Líneas'!$I$3:$I$560="Rechazado")*0.3))+SUMPRODUCT(('Avance Subestaciones'!$A$3:$A$428=$B27)*(('Avance Subestaciones'!$K$3:$K$428="Aprobado")+('Avance Subestaciones'!$K$3:$K$428="Cerrado")+('Avance Subestaciones'!$K$3:$K$428="Atención de comentarios")*0.8+('Avance Subestaciones'!$K$3:$K$428="En revisión")*0.75+('Avance Subestaciones'!$K$3:$K$428="En proceso")*0.5+('Avance Subestaciones'!$K$3:$K$428="Rechazado")*0.3)))/(COUNTIF('Avance Líneas'!$A$3:$A$560,$B27)+COUNTIF('Avance Subestaciones'!$A$3:$A$428,$B27)),""))</f>
        <v/>
      </c>
    </row>
    <row r="28" spans="1:4" ht="15" customHeight="1">
      <c r="A28" s="100"/>
      <c r="B28" s="100"/>
      <c r="C28" s="100"/>
      <c r="D28" s="98" t="str">
        <f>IF($B28="","",IFERROR((SUMPRODUCT(('Avance Líneas'!$A$3:$A$560=$B28)*(('Avance Líneas'!$I$3:$I$560="Aprobado")+('Avance Líneas'!$I$3:$I$560="Cerrado")+('Avance Líneas'!$I$3:$I$560="Atención de comentarios")*0.8+('Avance Líneas'!$I$3:$I$560="En revisión")*0.75+('Avance Líneas'!$I$3:$I$560="En proceso")*0.5+('Avance Líneas'!$I$3:$I$560="Rechazado")*0.3))+SUMPRODUCT(('Avance Subestaciones'!$A$3:$A$428=$B28)*(('Avance Subestaciones'!$K$3:$K$428="Aprobado")+('Avance Subestaciones'!$K$3:$K$428="Cerrado")+('Avance Subestaciones'!$K$3:$K$428="Atención de comentarios")*0.8+('Avance Subestaciones'!$K$3:$K$428="En revisión")*0.75+('Avance Subestaciones'!$K$3:$K$428="En proceso")*0.5+('Avance Subestaciones'!$K$3:$K$428="Rechazado")*0.3)))/(COUNTIF('Avance Líneas'!$A$3:$A$560,$B28)+COUNTIF('Avance Subestaciones'!$A$3:$A$428,$B28)),""))</f>
        <v/>
      </c>
    </row>
    <row r="29" spans="1:4" ht="15" customHeight="1">
      <c r="A29" s="97"/>
      <c r="B29" s="97"/>
      <c r="C29" s="97"/>
      <c r="D29" s="98" t="str">
        <f>IF($B29="","",IFERROR((SUMPRODUCT(('Avance Líneas'!$A$3:$A$560=$B29)*(('Avance Líneas'!$I$3:$I$560="Aprobado")+('Avance Líneas'!$I$3:$I$560="Cerrado")+('Avance Líneas'!$I$3:$I$560="Atención de comentarios")*0.8+('Avance Líneas'!$I$3:$I$560="En revisión")*0.75+('Avance Líneas'!$I$3:$I$560="En proceso")*0.5+('Avance Líneas'!$I$3:$I$560="Rechazado")*0.3))+SUMPRODUCT(('Avance Subestaciones'!$A$3:$A$428=$B29)*(('Avance Subestaciones'!$K$3:$K$428="Aprobado")+('Avance Subestaciones'!$K$3:$K$428="Cerrado")+('Avance Subestaciones'!$K$3:$K$428="Atención de comentarios")*0.8+('Avance Subestaciones'!$K$3:$K$428="En revisión")*0.75+('Avance Subestaciones'!$K$3:$K$428="En proceso")*0.5+('Avance Subestaciones'!$K$3:$K$428="Rechazado")*0.3)))/(COUNTIF('Avance Líneas'!$A$3:$A$560,$B29)+COUNTIF('Avance Subestaciones'!$A$3:$A$428,$B29)),""))</f>
        <v/>
      </c>
    </row>
    <row r="30" spans="1:4" ht="15" customHeight="1">
      <c r="A30" s="100"/>
      <c r="B30" s="100"/>
      <c r="C30" s="100"/>
      <c r="D30" s="98" t="str">
        <f>IF($B30="","",IFERROR((SUMPRODUCT(('Avance Líneas'!$A$3:$A$560=$B30)*(('Avance Líneas'!$I$3:$I$560="Aprobado")+('Avance Líneas'!$I$3:$I$560="Cerrado")+('Avance Líneas'!$I$3:$I$560="Atención de comentarios")*0.8+('Avance Líneas'!$I$3:$I$560="En revisión")*0.75+('Avance Líneas'!$I$3:$I$560="En proceso")*0.5+('Avance Líneas'!$I$3:$I$560="Rechazado")*0.3))+SUMPRODUCT(('Avance Subestaciones'!$A$3:$A$428=$B30)*(('Avance Subestaciones'!$K$3:$K$428="Aprobado")+('Avance Subestaciones'!$K$3:$K$428="Cerrado")+('Avance Subestaciones'!$K$3:$K$428="Atención de comentarios")*0.8+('Avance Subestaciones'!$K$3:$K$428="En revisión")*0.75+('Avance Subestaciones'!$K$3:$K$428="En proceso")*0.5+('Avance Subestaciones'!$K$3:$K$428="Rechazado")*0.3)))/(COUNTIF('Avance Líneas'!$A$3:$A$560,$B30)+COUNTIF('Avance Subestaciones'!$A$3:$A$428,$B30)),""))</f>
        <v/>
      </c>
    </row>
    <row r="31" spans="1:4" ht="15" customHeight="1">
      <c r="A31" s="97"/>
      <c r="B31" s="97"/>
      <c r="C31" s="97"/>
      <c r="D31" s="98" t="str">
        <f>IF($B31="","",IFERROR((SUMPRODUCT(('Avance Líneas'!$A$3:$A$560=$B31)*(('Avance Líneas'!$I$3:$I$560="Aprobado")+('Avance Líneas'!$I$3:$I$560="Cerrado")+('Avance Líneas'!$I$3:$I$560="Atención de comentarios")*0.8+('Avance Líneas'!$I$3:$I$560="En revisión")*0.75+('Avance Líneas'!$I$3:$I$560="En proceso")*0.5+('Avance Líneas'!$I$3:$I$560="Rechazado")*0.3))+SUMPRODUCT(('Avance Subestaciones'!$A$3:$A$428=$B31)*(('Avance Subestaciones'!$K$3:$K$428="Aprobado")+('Avance Subestaciones'!$K$3:$K$428="Cerrado")+('Avance Subestaciones'!$K$3:$K$428="Atención de comentarios")*0.8+('Avance Subestaciones'!$K$3:$K$428="En revisión")*0.75+('Avance Subestaciones'!$K$3:$K$428="En proceso")*0.5+('Avance Subestaciones'!$K$3:$K$428="Rechazado")*0.3)))/(COUNTIF('Avance Líneas'!$A$3:$A$560,$B31)+COUNTIF('Avance Subestaciones'!$A$3:$A$428,$B31)),""))</f>
        <v/>
      </c>
    </row>
    <row r="32" spans="1:4" ht="15" customHeight="1">
      <c r="A32" s="100"/>
      <c r="B32" s="100"/>
      <c r="C32" s="100"/>
      <c r="D32" s="98" t="str">
        <f>IF($B32="","",IFERROR((SUMPRODUCT(('Avance Líneas'!$A$3:$A$560=$B32)*(('Avance Líneas'!$I$3:$I$560="Aprobado")+('Avance Líneas'!$I$3:$I$560="Cerrado")+('Avance Líneas'!$I$3:$I$560="Atención de comentarios")*0.8+('Avance Líneas'!$I$3:$I$560="En revisión")*0.75+('Avance Líneas'!$I$3:$I$560="En proceso")*0.5+('Avance Líneas'!$I$3:$I$560="Rechazado")*0.3))+SUMPRODUCT(('Avance Subestaciones'!$A$3:$A$428=$B32)*(('Avance Subestaciones'!$K$3:$K$428="Aprobado")+('Avance Subestaciones'!$K$3:$K$428="Cerrado")+('Avance Subestaciones'!$K$3:$K$428="Atención de comentarios")*0.8+('Avance Subestaciones'!$K$3:$K$428="En revisión")*0.75+('Avance Subestaciones'!$K$3:$K$428="En proceso")*0.5+('Avance Subestaciones'!$K$3:$K$428="Rechazado")*0.3)))/(COUNTIF('Avance Líneas'!$A$3:$A$560,$B32)+COUNTIF('Avance Subestaciones'!$A$3:$A$428,$B32)),""))</f>
        <v/>
      </c>
    </row>
    <row r="33" spans="1:4" ht="15" customHeight="1">
      <c r="A33" s="97"/>
      <c r="B33" s="97"/>
      <c r="C33" s="97"/>
      <c r="D33" s="98" t="str">
        <f>IF($B33="","",IFERROR((SUMPRODUCT(('Avance Líneas'!$A$3:$A$560=$B33)*(('Avance Líneas'!$I$3:$I$560="Aprobado")+('Avance Líneas'!$I$3:$I$560="Cerrado")+('Avance Líneas'!$I$3:$I$560="Atención de comentarios")*0.8+('Avance Líneas'!$I$3:$I$560="En revisión")*0.75+('Avance Líneas'!$I$3:$I$560="En proceso")*0.5+('Avance Líneas'!$I$3:$I$560="Rechazado")*0.3))+SUMPRODUCT(('Avance Subestaciones'!$A$3:$A$428=$B33)*(('Avance Subestaciones'!$K$3:$K$428="Aprobado")+('Avance Subestaciones'!$K$3:$K$428="Cerrado")+('Avance Subestaciones'!$K$3:$K$428="Atención de comentarios")*0.8+('Avance Subestaciones'!$K$3:$K$428="En revisión")*0.75+('Avance Subestaciones'!$K$3:$K$428="En proceso")*0.5+('Avance Subestaciones'!$K$3:$K$428="Rechazado")*0.3)))/(COUNTIF('Avance Líneas'!$A$3:$A$560,$B33)+COUNTIF('Avance Subestaciones'!$A$3:$A$428,$B33)),""))</f>
        <v/>
      </c>
    </row>
    <row r="34" spans="1:4" ht="15" customHeight="1">
      <c r="A34" s="100"/>
      <c r="B34" s="100"/>
      <c r="C34" s="100"/>
      <c r="D34" s="98" t="str">
        <f>IF($B34="","",IFERROR((SUMPRODUCT(('Avance Líneas'!$A$3:$A$560=$B34)*(('Avance Líneas'!$I$3:$I$560="Aprobado")+('Avance Líneas'!$I$3:$I$560="Cerrado")+('Avance Líneas'!$I$3:$I$560="Atención de comentarios")*0.8+('Avance Líneas'!$I$3:$I$560="En revisión")*0.75+('Avance Líneas'!$I$3:$I$560="En proceso")*0.5+('Avance Líneas'!$I$3:$I$560="Rechazado")*0.3))+SUMPRODUCT(('Avance Subestaciones'!$A$3:$A$428=$B34)*(('Avance Subestaciones'!$K$3:$K$428="Aprobado")+('Avance Subestaciones'!$K$3:$K$428="Cerrado")+('Avance Subestaciones'!$K$3:$K$428="Atención de comentarios")*0.8+('Avance Subestaciones'!$K$3:$K$428="En revisión")*0.75+('Avance Subestaciones'!$K$3:$K$428="En proceso")*0.5+('Avance Subestaciones'!$K$3:$K$428="Rechazado")*0.3)))/(COUNTIF('Avance Líneas'!$A$3:$A$560,$B34)+COUNTIF('Avance Subestaciones'!$A$3:$A$428,$B34)),""))</f>
        <v/>
      </c>
    </row>
    <row r="35" spans="1:4" ht="15" customHeight="1">
      <c r="A35" s="97"/>
      <c r="B35" s="97"/>
      <c r="C35" s="97"/>
      <c r="D35" s="98" t="str">
        <f>IF($B35="","",IFERROR((SUMPRODUCT(('Avance Líneas'!$A$3:$A$560=$B35)*(('Avance Líneas'!$I$3:$I$560="Aprobado")+('Avance Líneas'!$I$3:$I$560="Cerrado")+('Avance Líneas'!$I$3:$I$560="Atención de comentarios")*0.8+('Avance Líneas'!$I$3:$I$560="En revisión")*0.75+('Avance Líneas'!$I$3:$I$560="En proceso")*0.5+('Avance Líneas'!$I$3:$I$560="Rechazado")*0.3))+SUMPRODUCT(('Avance Subestaciones'!$A$3:$A$428=$B35)*(('Avance Subestaciones'!$K$3:$K$428="Aprobado")+('Avance Subestaciones'!$K$3:$K$428="Cerrado")+('Avance Subestaciones'!$K$3:$K$428="Atención de comentarios")*0.8+('Avance Subestaciones'!$K$3:$K$428="En revisión")*0.75+('Avance Subestaciones'!$K$3:$K$428="En proceso")*0.5+('Avance Subestaciones'!$K$3:$K$428="Rechazado")*0.3)))/(COUNTIF('Avance Líneas'!$A$3:$A$560,$B35)+COUNTIF('Avance Subestaciones'!$A$3:$A$428,$B35)),""))</f>
        <v/>
      </c>
    </row>
    <row r="36" spans="1:4" ht="15" customHeight="1">
      <c r="A36" s="100"/>
      <c r="B36" s="100"/>
      <c r="C36" s="100"/>
      <c r="D36" s="98" t="str">
        <f>IF($B36="","",IFERROR((SUMPRODUCT(('Avance Líneas'!$A$3:$A$560=$B36)*(('Avance Líneas'!$I$3:$I$560="Aprobado")+('Avance Líneas'!$I$3:$I$560="Cerrado")+('Avance Líneas'!$I$3:$I$560="Atención de comentarios")*0.8+('Avance Líneas'!$I$3:$I$560="En revisión")*0.75+('Avance Líneas'!$I$3:$I$560="En proceso")*0.5+('Avance Líneas'!$I$3:$I$560="Rechazado")*0.3))+SUMPRODUCT(('Avance Subestaciones'!$A$3:$A$428=$B36)*(('Avance Subestaciones'!$K$3:$K$428="Aprobado")+('Avance Subestaciones'!$K$3:$K$428="Cerrado")+('Avance Subestaciones'!$K$3:$K$428="Atención de comentarios")*0.8+('Avance Subestaciones'!$K$3:$K$428="En revisión")*0.75+('Avance Subestaciones'!$K$3:$K$428="En proceso")*0.5+('Avance Subestaciones'!$K$3:$K$428="Rechazado")*0.3)))/(COUNTIF('Avance Líneas'!$A$3:$A$560,$B36)+COUNTIF('Avance Subestaciones'!$A$3:$A$428,$B36)),""))</f>
        <v/>
      </c>
    </row>
    <row r="37" spans="1:4" ht="15" customHeight="1">
      <c r="A37" s="97"/>
      <c r="B37" s="97"/>
      <c r="C37" s="97"/>
      <c r="D37" s="98" t="str">
        <f>IF($B37="","",IFERROR((SUMPRODUCT(('Avance Líneas'!$A$3:$A$560=$B37)*(('Avance Líneas'!$I$3:$I$560="Aprobado")+('Avance Líneas'!$I$3:$I$560="Cerrado")+('Avance Líneas'!$I$3:$I$560="Atención de comentarios")*0.8+('Avance Líneas'!$I$3:$I$560="En revisión")*0.75+('Avance Líneas'!$I$3:$I$560="En proceso")*0.5+('Avance Líneas'!$I$3:$I$560="Rechazado")*0.3))+SUMPRODUCT(('Avance Subestaciones'!$A$3:$A$428=$B37)*(('Avance Subestaciones'!$K$3:$K$428="Aprobado")+('Avance Subestaciones'!$K$3:$K$428="Cerrado")+('Avance Subestaciones'!$K$3:$K$428="Atención de comentarios")*0.8+('Avance Subestaciones'!$K$3:$K$428="En revisión")*0.75+('Avance Subestaciones'!$K$3:$K$428="En proceso")*0.5+('Avance Subestaciones'!$K$3:$K$428="Rechazado")*0.3)))/(COUNTIF('Avance Líneas'!$A$3:$A$560,$B37)+COUNTIF('Avance Subestaciones'!$A$3:$A$428,$B37)),""))</f>
        <v/>
      </c>
    </row>
    <row r="38" spans="1:4" ht="15" customHeight="1">
      <c r="A38" s="100"/>
      <c r="B38" s="100"/>
      <c r="C38" s="100"/>
      <c r="D38" s="98" t="str">
        <f>IF($B38="","",IFERROR((SUMPRODUCT(('Avance Líneas'!$A$3:$A$560=$B38)*(('Avance Líneas'!$I$3:$I$560="Aprobado")+('Avance Líneas'!$I$3:$I$560="Cerrado")+('Avance Líneas'!$I$3:$I$560="Atención de comentarios")*0.8+('Avance Líneas'!$I$3:$I$560="En revisión")*0.75+('Avance Líneas'!$I$3:$I$560="En proceso")*0.5+('Avance Líneas'!$I$3:$I$560="Rechazado")*0.3))+SUMPRODUCT(('Avance Subestaciones'!$A$3:$A$428=$B38)*(('Avance Subestaciones'!$K$3:$K$428="Aprobado")+('Avance Subestaciones'!$K$3:$K$428="Cerrado")+('Avance Subestaciones'!$K$3:$K$428="Atención de comentarios")*0.8+('Avance Subestaciones'!$K$3:$K$428="En revisión")*0.75+('Avance Subestaciones'!$K$3:$K$428="En proceso")*0.5+('Avance Subestaciones'!$K$3:$K$428="Rechazado")*0.3)))/(COUNTIF('Avance Líneas'!$A$3:$A$560,$B38)+COUNTIF('Avance Subestaciones'!$A$3:$A$428,$B38)),""))</f>
        <v/>
      </c>
    </row>
    <row r="39" spans="1:4" ht="15" customHeight="1">
      <c r="A39" s="97"/>
      <c r="B39" s="97"/>
      <c r="C39" s="97"/>
      <c r="D39" s="98" t="str">
        <f>IF($B39="","",IFERROR((SUMPRODUCT(('Avance Líneas'!$A$3:$A$560=$B39)*(('Avance Líneas'!$I$3:$I$560="Aprobado")+('Avance Líneas'!$I$3:$I$560="Cerrado")+('Avance Líneas'!$I$3:$I$560="Atención de comentarios")*0.8+('Avance Líneas'!$I$3:$I$560="En revisión")*0.75+('Avance Líneas'!$I$3:$I$560="En proceso")*0.5+('Avance Líneas'!$I$3:$I$560="Rechazado")*0.3))+SUMPRODUCT(('Avance Subestaciones'!$A$3:$A$428=$B39)*(('Avance Subestaciones'!$K$3:$K$428="Aprobado")+('Avance Subestaciones'!$K$3:$K$428="Cerrado")+('Avance Subestaciones'!$K$3:$K$428="Atención de comentarios")*0.8+('Avance Subestaciones'!$K$3:$K$428="En revisión")*0.75+('Avance Subestaciones'!$K$3:$K$428="En proceso")*0.5+('Avance Subestaciones'!$K$3:$K$428="Rechazado")*0.3)))/(COUNTIF('Avance Líneas'!$A$3:$A$560,$B39)+COUNTIF('Avance Subestaciones'!$A$3:$A$428,$B39)),""))</f>
        <v/>
      </c>
    </row>
    <row r="40" spans="1:4" ht="15" customHeight="1">
      <c r="A40" s="100"/>
      <c r="B40" s="100"/>
      <c r="C40" s="100"/>
      <c r="D40" s="98" t="str">
        <f>IF($B40="","",IFERROR((SUMPRODUCT(('Avance Líneas'!$A$3:$A$560=$B40)*(('Avance Líneas'!$I$3:$I$560="Aprobado")+('Avance Líneas'!$I$3:$I$560="Cerrado")+('Avance Líneas'!$I$3:$I$560="Atención de comentarios")*0.8+('Avance Líneas'!$I$3:$I$560="En revisión")*0.75+('Avance Líneas'!$I$3:$I$560="En proceso")*0.5+('Avance Líneas'!$I$3:$I$560="Rechazado")*0.3))+SUMPRODUCT(('Avance Subestaciones'!$A$3:$A$428=$B40)*(('Avance Subestaciones'!$K$3:$K$428="Aprobado")+('Avance Subestaciones'!$K$3:$K$428="Cerrado")+('Avance Subestaciones'!$K$3:$K$428="Atención de comentarios")*0.8+('Avance Subestaciones'!$K$3:$K$428="En revisión")*0.75+('Avance Subestaciones'!$K$3:$K$428="En proceso")*0.5+('Avance Subestaciones'!$K$3:$K$428="Rechazado")*0.3)))/(COUNTIF('Avance Líneas'!$A$3:$A$560,$B40)+COUNTIF('Avance Subestaciones'!$A$3:$A$428,$B40)),""))</f>
        <v/>
      </c>
    </row>
    <row r="41" spans="1:4" ht="15" customHeight="1">
      <c r="A41" s="97"/>
      <c r="B41" s="97"/>
      <c r="C41" s="97"/>
      <c r="D41" s="98" t="str">
        <f>IF($B41="","",IFERROR((SUMPRODUCT(('Avance Líneas'!$A$3:$A$560=$B41)*(('Avance Líneas'!$I$3:$I$560="Aprobado")+('Avance Líneas'!$I$3:$I$560="Cerrado")+('Avance Líneas'!$I$3:$I$560="Atención de comentarios")*0.8+('Avance Líneas'!$I$3:$I$560="En revisión")*0.75+('Avance Líneas'!$I$3:$I$560="En proceso")*0.5+('Avance Líneas'!$I$3:$I$560="Rechazado")*0.3))+SUMPRODUCT(('Avance Subestaciones'!$A$3:$A$428=$B41)*(('Avance Subestaciones'!$K$3:$K$428="Aprobado")+('Avance Subestaciones'!$K$3:$K$428="Cerrado")+('Avance Subestaciones'!$K$3:$K$428="Atención de comentarios")*0.8+('Avance Subestaciones'!$K$3:$K$428="En revisión")*0.75+('Avance Subestaciones'!$K$3:$K$428="En proceso")*0.5+('Avance Subestaciones'!$K$3:$K$428="Rechazado")*0.3)))/(COUNTIF('Avance Líneas'!$A$3:$A$560,$B41)+COUNTIF('Avance Subestaciones'!$A$3:$A$428,$B41)),""))</f>
        <v/>
      </c>
    </row>
    <row r="42" spans="1:4" ht="15" customHeight="1">
      <c r="A42" s="100"/>
      <c r="B42" s="100"/>
      <c r="C42" s="100"/>
      <c r="D42" s="98" t="str">
        <f>IF($B42="","",IFERROR((SUMPRODUCT(('Avance Líneas'!$A$3:$A$560=$B42)*(('Avance Líneas'!$I$3:$I$560="Aprobado")+('Avance Líneas'!$I$3:$I$560="Cerrado")+('Avance Líneas'!$I$3:$I$560="Atención de comentarios")*0.8+('Avance Líneas'!$I$3:$I$560="En revisión")*0.75+('Avance Líneas'!$I$3:$I$560="En proceso")*0.5+('Avance Líneas'!$I$3:$I$560="Rechazado")*0.3))+SUMPRODUCT(('Avance Subestaciones'!$A$3:$A$428=$B42)*(('Avance Subestaciones'!$K$3:$K$428="Aprobado")+('Avance Subestaciones'!$K$3:$K$428="Cerrado")+('Avance Subestaciones'!$K$3:$K$428="Atención de comentarios")*0.8+('Avance Subestaciones'!$K$3:$K$428="En revisión")*0.75+('Avance Subestaciones'!$K$3:$K$428="En proceso")*0.5+('Avance Subestaciones'!$K$3:$K$428="Rechazado")*0.3)))/(COUNTIF('Avance Líneas'!$A$3:$A$560,$B42)+COUNTIF('Avance Subestaciones'!$A$3:$A$428,$B42)),""))</f>
        <v/>
      </c>
    </row>
    <row r="43" spans="1:4" ht="15" customHeight="1">
      <c r="A43" s="97"/>
      <c r="B43" s="97"/>
      <c r="C43" s="97"/>
      <c r="D43" s="98" t="str">
        <f>IF($B43="","",IFERROR((SUMPRODUCT(('Avance Líneas'!$A$3:$A$560=$B43)*(('Avance Líneas'!$I$3:$I$560="Aprobado")+('Avance Líneas'!$I$3:$I$560="Cerrado")+('Avance Líneas'!$I$3:$I$560="Atención de comentarios")*0.8+('Avance Líneas'!$I$3:$I$560="En revisión")*0.75+('Avance Líneas'!$I$3:$I$560="En proceso")*0.5+('Avance Líneas'!$I$3:$I$560="Rechazado")*0.3))+SUMPRODUCT(('Avance Subestaciones'!$A$3:$A$428=$B43)*(('Avance Subestaciones'!$K$3:$K$428="Aprobado")+('Avance Subestaciones'!$K$3:$K$428="Cerrado")+('Avance Subestaciones'!$K$3:$K$428="Atención de comentarios")*0.8+('Avance Subestaciones'!$K$3:$K$428="En revisión")*0.75+('Avance Subestaciones'!$K$3:$K$428="En proceso")*0.5+('Avance Subestaciones'!$K$3:$K$428="Rechazado")*0.3)))/(COUNTIF('Avance Líneas'!$A$3:$A$560,$B43)+COUNTIF('Avance Subestaciones'!$A$3:$A$428,$B43)),""))</f>
        <v/>
      </c>
    </row>
    <row r="44" spans="1:4" ht="15" customHeight="1">
      <c r="A44" s="100"/>
      <c r="B44" s="100"/>
      <c r="C44" s="100"/>
      <c r="D44" s="98" t="str">
        <f>IF($B44="","",IFERROR((SUMPRODUCT(('Avance Líneas'!$A$3:$A$560=$B44)*(('Avance Líneas'!$I$3:$I$560="Aprobado")+('Avance Líneas'!$I$3:$I$560="Cerrado")+('Avance Líneas'!$I$3:$I$560="Atención de comentarios")*0.8+('Avance Líneas'!$I$3:$I$560="En revisión")*0.75+('Avance Líneas'!$I$3:$I$560="En proceso")*0.5+('Avance Líneas'!$I$3:$I$560="Rechazado")*0.3))+SUMPRODUCT(('Avance Subestaciones'!$A$3:$A$428=$B44)*(('Avance Subestaciones'!$K$3:$K$428="Aprobado")+('Avance Subestaciones'!$K$3:$K$428="Cerrado")+('Avance Subestaciones'!$K$3:$K$428="Atención de comentarios")*0.8+('Avance Subestaciones'!$K$3:$K$428="En revisión")*0.75+('Avance Subestaciones'!$K$3:$K$428="En proceso")*0.5+('Avance Subestaciones'!$K$3:$K$428="Rechazado")*0.3)))/(COUNTIF('Avance Líneas'!$A$3:$A$560,$B44)+COUNTIF('Avance Subestaciones'!$A$3:$A$428,$B44)),""))</f>
        <v/>
      </c>
    </row>
    <row r="45" spans="1:4" ht="15" customHeight="1">
      <c r="A45" s="97"/>
      <c r="B45" s="97"/>
      <c r="C45" s="97"/>
      <c r="D45" s="98" t="str">
        <f>IF($B45="","",IFERROR((SUMPRODUCT(('Avance Líneas'!$A$3:$A$560=$B45)*(('Avance Líneas'!$I$3:$I$560="Aprobado")+('Avance Líneas'!$I$3:$I$560="Cerrado")+('Avance Líneas'!$I$3:$I$560="Atención de comentarios")*0.8+('Avance Líneas'!$I$3:$I$560="En revisión")*0.75+('Avance Líneas'!$I$3:$I$560="En proceso")*0.5+('Avance Líneas'!$I$3:$I$560="Rechazado")*0.3))+SUMPRODUCT(('Avance Subestaciones'!$A$3:$A$428=$B45)*(('Avance Subestaciones'!$K$3:$K$428="Aprobado")+('Avance Subestaciones'!$K$3:$K$428="Cerrado")+('Avance Subestaciones'!$K$3:$K$428="Atención de comentarios")*0.8+('Avance Subestaciones'!$K$3:$K$428="En revisión")*0.75+('Avance Subestaciones'!$K$3:$K$428="En proceso")*0.5+('Avance Subestaciones'!$K$3:$K$428="Rechazado")*0.3)))/(COUNTIF('Avance Líneas'!$A$3:$A$560,$B45)+COUNTIF('Avance Subestaciones'!$A$3:$A$428,$B45)),""))</f>
        <v/>
      </c>
    </row>
    <row r="46" spans="1:4" ht="15" customHeight="1">
      <c r="A46" s="100"/>
      <c r="B46" s="100"/>
      <c r="C46" s="100"/>
      <c r="D46" s="98" t="str">
        <f>IF($B46="","",IFERROR((SUMPRODUCT(('Avance Líneas'!$A$3:$A$560=$B46)*(('Avance Líneas'!$I$3:$I$560="Aprobado")+('Avance Líneas'!$I$3:$I$560="Cerrado")+('Avance Líneas'!$I$3:$I$560="Atención de comentarios")*0.8+('Avance Líneas'!$I$3:$I$560="En revisión")*0.75+('Avance Líneas'!$I$3:$I$560="En proceso")*0.5+('Avance Líneas'!$I$3:$I$560="Rechazado")*0.3))+SUMPRODUCT(('Avance Subestaciones'!$A$3:$A$428=$B46)*(('Avance Subestaciones'!$K$3:$K$428="Aprobado")+('Avance Subestaciones'!$K$3:$K$428="Cerrado")+('Avance Subestaciones'!$K$3:$K$428="Atención de comentarios")*0.8+('Avance Subestaciones'!$K$3:$K$428="En revisión")*0.75+('Avance Subestaciones'!$K$3:$K$428="En proceso")*0.5+('Avance Subestaciones'!$K$3:$K$428="Rechazado")*0.3)))/(COUNTIF('Avance Líneas'!$A$3:$A$560,$B46)+COUNTIF('Avance Subestaciones'!$A$3:$A$428,$B46)),""))</f>
        <v/>
      </c>
    </row>
    <row r="47" spans="1:4" ht="15" customHeight="1">
      <c r="A47" s="97"/>
      <c r="B47" s="97"/>
      <c r="C47" s="97"/>
      <c r="D47" s="98" t="str">
        <f>IF($B47="","",IFERROR((SUMPRODUCT(('Avance Líneas'!$A$3:$A$560=$B47)*(('Avance Líneas'!$I$3:$I$560="Aprobado")+('Avance Líneas'!$I$3:$I$560="Cerrado")+('Avance Líneas'!$I$3:$I$560="Atención de comentarios")*0.8+('Avance Líneas'!$I$3:$I$560="En revisión")*0.75+('Avance Líneas'!$I$3:$I$560="En proceso")*0.5+('Avance Líneas'!$I$3:$I$560="Rechazado")*0.3))+SUMPRODUCT(('Avance Subestaciones'!$A$3:$A$428=$B47)*(('Avance Subestaciones'!$K$3:$K$428="Aprobado")+('Avance Subestaciones'!$K$3:$K$428="Cerrado")+('Avance Subestaciones'!$K$3:$K$428="Atención de comentarios")*0.8+('Avance Subestaciones'!$K$3:$K$428="En revisión")*0.75+('Avance Subestaciones'!$K$3:$K$428="En proceso")*0.5+('Avance Subestaciones'!$K$3:$K$428="Rechazado")*0.3)))/(COUNTIF('Avance Líneas'!$A$3:$A$560,$B47)+COUNTIF('Avance Subestaciones'!$A$3:$A$428,$B47)),""))</f>
        <v/>
      </c>
    </row>
    <row r="48" spans="1:4" ht="15" customHeight="1">
      <c r="A48" s="100"/>
      <c r="B48" s="100"/>
      <c r="C48" s="100"/>
      <c r="D48" s="98" t="str">
        <f>IF($B48="","",IFERROR((SUMPRODUCT(('Avance Líneas'!$A$3:$A$560=$B48)*(('Avance Líneas'!$I$3:$I$560="Aprobado")+('Avance Líneas'!$I$3:$I$560="Cerrado")+('Avance Líneas'!$I$3:$I$560="Atención de comentarios")*0.8+('Avance Líneas'!$I$3:$I$560="En revisión")*0.75+('Avance Líneas'!$I$3:$I$560="En proceso")*0.5+('Avance Líneas'!$I$3:$I$560="Rechazado")*0.3))+SUMPRODUCT(('Avance Subestaciones'!$A$3:$A$428=$B48)*(('Avance Subestaciones'!$K$3:$K$428="Aprobado")+('Avance Subestaciones'!$K$3:$K$428="Cerrado")+('Avance Subestaciones'!$K$3:$K$428="Atención de comentarios")*0.8+('Avance Subestaciones'!$K$3:$K$428="En revisión")*0.75+('Avance Subestaciones'!$K$3:$K$428="En proceso")*0.5+('Avance Subestaciones'!$K$3:$K$428="Rechazado")*0.3)))/(COUNTIF('Avance Líneas'!$A$3:$A$560,$B48)+COUNTIF('Avance Subestaciones'!$A$3:$A$428,$B48)),""))</f>
        <v/>
      </c>
    </row>
    <row r="49" spans="1:4" ht="15" customHeight="1">
      <c r="A49" s="97"/>
      <c r="B49" s="97"/>
      <c r="C49" s="97"/>
      <c r="D49" s="98" t="str">
        <f>IF($B49="","",IFERROR((SUMPRODUCT(('Avance Líneas'!$A$3:$A$560=$B49)*(('Avance Líneas'!$I$3:$I$560="Aprobado")+('Avance Líneas'!$I$3:$I$560="Cerrado")+('Avance Líneas'!$I$3:$I$560="Atención de comentarios")*0.8+('Avance Líneas'!$I$3:$I$560="En revisión")*0.75+('Avance Líneas'!$I$3:$I$560="En proceso")*0.5+('Avance Líneas'!$I$3:$I$560="Rechazado")*0.3))+SUMPRODUCT(('Avance Subestaciones'!$A$3:$A$428=$B49)*(('Avance Subestaciones'!$K$3:$K$428="Aprobado")+('Avance Subestaciones'!$K$3:$K$428="Cerrado")+('Avance Subestaciones'!$K$3:$K$428="Atención de comentarios")*0.8+('Avance Subestaciones'!$K$3:$K$428="En revisión")*0.75+('Avance Subestaciones'!$K$3:$K$428="En proceso")*0.5+('Avance Subestaciones'!$K$3:$K$428="Rechazado")*0.3)))/(COUNTIF('Avance Líneas'!$A$3:$A$560,$B49)+COUNTIF('Avance Subestaciones'!$A$3:$A$428,$B49)),""))</f>
        <v/>
      </c>
    </row>
    <row r="50" spans="1:4" ht="15" customHeight="1">
      <c r="A50" s="100"/>
      <c r="B50" s="100"/>
      <c r="C50" s="100"/>
      <c r="D50" s="98" t="str">
        <f>IF($B50="","",IFERROR((SUMPRODUCT(('Avance Líneas'!$A$3:$A$560=$B50)*(('Avance Líneas'!$I$3:$I$560="Aprobado")+('Avance Líneas'!$I$3:$I$560="Cerrado")+('Avance Líneas'!$I$3:$I$560="Atención de comentarios")*0.8+('Avance Líneas'!$I$3:$I$560="En revisión")*0.75+('Avance Líneas'!$I$3:$I$560="En proceso")*0.5+('Avance Líneas'!$I$3:$I$560="Rechazado")*0.3))+SUMPRODUCT(('Avance Subestaciones'!$A$3:$A$428=$B50)*(('Avance Subestaciones'!$K$3:$K$428="Aprobado")+('Avance Subestaciones'!$K$3:$K$428="Cerrado")+('Avance Subestaciones'!$K$3:$K$428="Atención de comentarios")*0.8+('Avance Subestaciones'!$K$3:$K$428="En revisión")*0.75+('Avance Subestaciones'!$K$3:$K$428="En proceso")*0.5+('Avance Subestaciones'!$K$3:$K$428="Rechazado")*0.3)))/(COUNTIF('Avance Líneas'!$A$3:$A$560,$B50)+COUNTIF('Avance Subestaciones'!$A$3:$A$428,$B50)),""))</f>
        <v/>
      </c>
    </row>
    <row r="51" spans="1:4" ht="15" customHeight="1">
      <c r="A51" s="97"/>
      <c r="B51" s="97"/>
      <c r="C51" s="97"/>
    </row>
    <row r="52" spans="1:4" ht="15" customHeight="1">
      <c r="A52" s="100"/>
      <c r="B52" s="100"/>
      <c r="C52" s="100"/>
    </row>
    <row r="53" spans="1:4" ht="15" customHeight="1">
      <c r="A53" s="97"/>
      <c r="B53" s="97"/>
      <c r="C53" s="97"/>
    </row>
    <row r="54" spans="1:4" ht="15" customHeight="1">
      <c r="A54" s="100"/>
      <c r="B54" s="100"/>
      <c r="C54" s="100"/>
    </row>
    <row r="55" spans="1:4" ht="15" customHeight="1">
      <c r="A55" s="97"/>
      <c r="B55" s="97"/>
      <c r="C55" s="97"/>
    </row>
    <row r="56" spans="1:4" ht="15" customHeight="1">
      <c r="A56" s="100"/>
      <c r="B56" s="100"/>
      <c r="C56" s="100"/>
    </row>
    <row r="57" spans="1:4" ht="15" customHeight="1">
      <c r="A57" s="97"/>
      <c r="B57" s="97"/>
      <c r="C57" s="97"/>
    </row>
    <row r="58" spans="1:4" ht="15" customHeight="1">
      <c r="A58" s="100"/>
      <c r="B58" s="100"/>
      <c r="C58" s="100"/>
    </row>
    <row r="59" spans="1:4" ht="15" customHeight="1">
      <c r="A59" s="97"/>
      <c r="B59" s="97"/>
      <c r="C59" s="97"/>
    </row>
    <row r="60" spans="1:4" ht="15" customHeight="1">
      <c r="A60" s="100"/>
      <c r="B60" s="100"/>
      <c r="C60" s="100"/>
    </row>
    <row r="61" spans="1:4" ht="15" customHeight="1">
      <c r="A61" s="97"/>
      <c r="B61" s="97"/>
      <c r="C61" s="97"/>
    </row>
    <row r="62" spans="1:4" ht="15" customHeight="1">
      <c r="A62" s="100"/>
      <c r="B62" s="100"/>
      <c r="C62" s="100"/>
    </row>
    <row r="63" spans="1:4" ht="15" customHeight="1">
      <c r="A63" s="97"/>
      <c r="B63" s="97"/>
      <c r="C63" s="97"/>
    </row>
    <row r="64" spans="1:4" ht="15" customHeight="1">
      <c r="A64" s="100"/>
      <c r="B64" s="100"/>
      <c r="C64" s="100"/>
    </row>
    <row r="65" spans="1:3" ht="15" customHeight="1">
      <c r="A65" s="97"/>
      <c r="B65" s="97"/>
      <c r="C65" s="97"/>
    </row>
    <row r="66" spans="1:3" ht="15" customHeight="1">
      <c r="A66" s="100"/>
      <c r="B66" s="100"/>
      <c r="C66" s="100"/>
    </row>
    <row r="67" spans="1:3" ht="15" customHeight="1">
      <c r="A67" s="97"/>
      <c r="B67" s="97"/>
      <c r="C67" s="97"/>
    </row>
    <row r="68" spans="1:3" ht="15" customHeight="1">
      <c r="A68" s="100"/>
      <c r="B68" s="100"/>
      <c r="C68" s="100"/>
    </row>
    <row r="69" spans="1:3" ht="15" customHeight="1">
      <c r="A69" s="97"/>
      <c r="B69" s="97"/>
      <c r="C69" s="97"/>
    </row>
    <row r="70" spans="1:3" ht="15" customHeight="1">
      <c r="A70" s="100"/>
      <c r="B70" s="100"/>
      <c r="C70" s="100"/>
    </row>
    <row r="71" spans="1:3" ht="15" customHeight="1">
      <c r="A71" s="97"/>
      <c r="B71" s="97"/>
      <c r="C71" s="97"/>
    </row>
    <row r="72" spans="1:3" ht="15" customHeight="1">
      <c r="A72" s="100"/>
      <c r="B72" s="100"/>
      <c r="C72" s="100"/>
    </row>
    <row r="73" spans="1:3" ht="15" customHeight="1">
      <c r="A73" s="97"/>
      <c r="B73" s="97"/>
      <c r="C73" s="97"/>
    </row>
    <row r="74" spans="1:3" ht="15" customHeight="1">
      <c r="A74" s="100"/>
      <c r="B74" s="100"/>
      <c r="C74" s="100"/>
    </row>
    <row r="75" spans="1:3" ht="15" customHeight="1">
      <c r="A75" s="97"/>
      <c r="B75" s="97"/>
      <c r="C75" s="97"/>
    </row>
    <row r="76" spans="1:3" ht="15" customHeight="1">
      <c r="A76" s="100"/>
      <c r="B76" s="100"/>
      <c r="C76" s="100"/>
    </row>
    <row r="77" spans="1:3" ht="15" customHeight="1">
      <c r="A77" s="97"/>
      <c r="B77" s="97"/>
      <c r="C77" s="97"/>
    </row>
    <row r="78" spans="1:3" ht="15" customHeight="1">
      <c r="A78" s="100"/>
      <c r="B78" s="100"/>
      <c r="C78" s="100"/>
    </row>
    <row r="79" spans="1:3" ht="15" customHeight="1">
      <c r="A79" s="97"/>
      <c r="B79" s="97"/>
      <c r="C79" s="97"/>
    </row>
    <row r="80" spans="1:3" ht="15" customHeight="1">
      <c r="A80" s="100"/>
      <c r="B80" s="100"/>
      <c r="C80" s="100"/>
    </row>
    <row r="81" spans="1:3" ht="15" customHeight="1">
      <c r="A81" s="97"/>
      <c r="B81" s="97"/>
      <c r="C81" s="97"/>
    </row>
    <row r="82" spans="1:3" ht="15" customHeight="1">
      <c r="A82" s="100"/>
      <c r="B82" s="100"/>
      <c r="C82" s="100"/>
    </row>
    <row r="83" spans="1:3" ht="15" customHeight="1">
      <c r="A83" s="97"/>
      <c r="B83" s="97"/>
      <c r="C83" s="97"/>
    </row>
    <row r="84" spans="1:3" ht="15" customHeight="1">
      <c r="A84" s="100"/>
      <c r="B84" s="100"/>
      <c r="C84" s="100"/>
    </row>
    <row r="85" spans="1:3" ht="15" customHeight="1">
      <c r="A85" s="97"/>
      <c r="B85" s="97"/>
      <c r="C85" s="97"/>
    </row>
    <row r="86" spans="1:3" ht="15" customHeight="1">
      <c r="A86" s="100"/>
      <c r="B86" s="100"/>
      <c r="C86" s="100"/>
    </row>
    <row r="87" spans="1:3" ht="15" customHeight="1">
      <c r="A87" s="97"/>
      <c r="B87" s="97"/>
      <c r="C87" s="97"/>
    </row>
    <row r="88" spans="1:3" ht="15" customHeight="1">
      <c r="A88" s="100"/>
      <c r="B88" s="100"/>
      <c r="C88" s="100"/>
    </row>
    <row r="89" spans="1:3" ht="15" customHeight="1">
      <c r="A89" s="97"/>
      <c r="B89" s="97"/>
      <c r="C89" s="97"/>
    </row>
    <row r="90" spans="1:3" ht="15" customHeight="1">
      <c r="A90" s="100"/>
      <c r="B90" s="100"/>
      <c r="C90" s="100"/>
    </row>
    <row r="91" spans="1:3" ht="15" customHeight="1">
      <c r="A91" s="97"/>
      <c r="B91" s="97"/>
      <c r="C91" s="97"/>
    </row>
    <row r="92" spans="1:3" ht="15" customHeight="1">
      <c r="A92" s="100"/>
      <c r="B92" s="100"/>
      <c r="C92" s="100"/>
    </row>
    <row r="93" spans="1:3" ht="15" customHeight="1">
      <c r="A93" s="97"/>
      <c r="B93" s="97"/>
      <c r="C93" s="97"/>
    </row>
    <row r="94" spans="1:3" ht="15" customHeight="1">
      <c r="A94" s="100"/>
      <c r="B94" s="100"/>
      <c r="C94" s="100"/>
    </row>
    <row r="95" spans="1:3" ht="15" customHeight="1">
      <c r="A95" s="97"/>
      <c r="B95" s="97"/>
      <c r="C95" s="97"/>
    </row>
    <row r="96" spans="1:3" ht="15" customHeight="1">
      <c r="A96" s="100"/>
      <c r="B96" s="100"/>
      <c r="C96" s="100"/>
    </row>
    <row r="97" spans="1:3" ht="15" customHeight="1">
      <c r="A97" s="97"/>
      <c r="B97" s="97"/>
      <c r="C97" s="97"/>
    </row>
    <row r="98" spans="1:3" ht="15" customHeight="1">
      <c r="A98" s="100"/>
      <c r="B98" s="100"/>
      <c r="C98" s="100"/>
    </row>
    <row r="99" spans="1:3" ht="15" customHeight="1">
      <c r="A99" s="97"/>
      <c r="B99" s="97"/>
      <c r="C99" s="97"/>
    </row>
    <row r="100" spans="1:3" ht="15" customHeight="1">
      <c r="A100" s="100"/>
      <c r="B100" s="100"/>
      <c r="C100" s="100"/>
    </row>
  </sheetData>
  <mergeCells count="1">
    <mergeCell ref="A1:C1"/>
  </mergeCells>
  <dataValidations count="1">
    <dataValidation type="list" allowBlank="1" showErrorMessage="1" errorTitle="Dato fuera de lista" error="Valor no válido. Escoge una opción de la lista." sqref="C3:C700" xr:uid="{00000000-0002-0000-0B00-000000000000}">
      <formula1>"Línea AT,Subestación"</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100"/>
  <sheetViews>
    <sheetView showGridLines="0" zoomScaleNormal="100" workbookViewId="0">
      <pane xSplit="1" ySplit="2" topLeftCell="B3" activePane="bottomRight" state="frozen"/>
      <selection pane="bottomRight"/>
      <selection pane="bottomLeft" activeCell="A3" sqref="A3"/>
      <selection pane="topRight" activeCell="B1" sqref="B1"/>
    </sheetView>
  </sheetViews>
  <sheetFormatPr defaultColWidth="8.7109375" defaultRowHeight="15"/>
  <cols>
    <col min="1" max="1" width="14" customWidth="1"/>
    <col min="2" max="2" width="30" customWidth="1"/>
    <col min="3" max="3" width="28" customWidth="1"/>
  </cols>
  <sheetData>
    <row r="1" spans="1:3" ht="21.75" customHeight="1">
      <c r="A1" s="156" t="s">
        <v>849</v>
      </c>
      <c r="B1" s="156"/>
      <c r="C1" s="156"/>
    </row>
    <row r="2" spans="1:3" ht="30" customHeight="1">
      <c r="A2" s="95" t="s">
        <v>850</v>
      </c>
      <c r="B2" s="95" t="s">
        <v>851</v>
      </c>
      <c r="C2" s="95" t="s">
        <v>852</v>
      </c>
    </row>
    <row r="3" spans="1:3" ht="15" customHeight="1">
      <c r="A3" s="97" t="str">
        <f>"CB"&amp;TEXT(ROW()-2,"000")</f>
        <v>CB001</v>
      </c>
      <c r="B3" s="97" t="s">
        <v>853</v>
      </c>
      <c r="C3" s="97" t="s">
        <v>854</v>
      </c>
    </row>
    <row r="4" spans="1:3" ht="15" customHeight="1">
      <c r="A4" s="100" t="str">
        <f>"CB"&amp;TEXT(ROW()-2,"000")</f>
        <v>CB002</v>
      </c>
      <c r="B4" s="100" t="s">
        <v>687</v>
      </c>
      <c r="C4" s="100" t="s">
        <v>688</v>
      </c>
    </row>
    <row r="5" spans="1:3" ht="15" customHeight="1">
      <c r="A5" s="97" t="str">
        <f>"CB"&amp;TEXT(ROW()-2,"000")</f>
        <v>CB003</v>
      </c>
      <c r="B5" s="97" t="s">
        <v>375</v>
      </c>
      <c r="C5" s="97" t="s">
        <v>854</v>
      </c>
    </row>
    <row r="6" spans="1:3" ht="15" customHeight="1">
      <c r="A6" s="100" t="str">
        <f>"CB"&amp;TEXT(ROW()-2,"000")</f>
        <v>CB004</v>
      </c>
      <c r="B6" s="100" t="s">
        <v>691</v>
      </c>
      <c r="C6" s="100" t="s">
        <v>688</v>
      </c>
    </row>
    <row r="7" spans="1:3" ht="15" customHeight="1">
      <c r="A7" s="97" t="str">
        <f>"CB"&amp;TEXT(ROW()-2,"000")</f>
        <v>CB005</v>
      </c>
      <c r="B7" s="97" t="s">
        <v>377</v>
      </c>
      <c r="C7" s="97" t="s">
        <v>692</v>
      </c>
    </row>
    <row r="8" spans="1:3" ht="15" customHeight="1">
      <c r="A8" s="100" t="str">
        <f>"CB"&amp;TEXT(ROW()-2,"000")</f>
        <v>CB006</v>
      </c>
      <c r="B8" s="100" t="s">
        <v>855</v>
      </c>
      <c r="C8" s="100" t="s">
        <v>856</v>
      </c>
    </row>
    <row r="9" spans="1:3" ht="15" customHeight="1">
      <c r="A9" s="97" t="str">
        <f>"CB"&amp;TEXT(ROW()-2,"000")</f>
        <v>CB007</v>
      </c>
      <c r="B9" s="97" t="s">
        <v>713</v>
      </c>
      <c r="C9" s="97" t="s">
        <v>857</v>
      </c>
    </row>
    <row r="10" spans="1:3" ht="15" customHeight="1">
      <c r="A10" s="100" t="str">
        <f>"CB"&amp;TEXT(ROW()-2,"000")</f>
        <v>CB008</v>
      </c>
      <c r="B10" s="100" t="s">
        <v>380</v>
      </c>
      <c r="C10" s="100" t="s">
        <v>857</v>
      </c>
    </row>
    <row r="11" spans="1:3" ht="15" customHeight="1">
      <c r="A11" s="97" t="str">
        <f>"CB"&amp;TEXT(ROW()-2,"000")</f>
        <v>CB009</v>
      </c>
      <c r="B11" s="97" t="s">
        <v>858</v>
      </c>
      <c r="C11" s="97" t="s">
        <v>856</v>
      </c>
    </row>
    <row r="12" spans="1:3" ht="15" customHeight="1">
      <c r="A12" s="100" t="str">
        <f>"CB"&amp;TEXT(ROW()-2,"000")</f>
        <v>CB010</v>
      </c>
      <c r="B12" s="100" t="s">
        <v>859</v>
      </c>
      <c r="C12" s="100" t="s">
        <v>856</v>
      </c>
    </row>
    <row r="13" spans="1:3" ht="15" customHeight="1">
      <c r="A13" s="97" t="str">
        <f>"CB"&amp;TEXT(ROW()-2,"000")</f>
        <v>CB011</v>
      </c>
      <c r="B13" s="97" t="s">
        <v>860</v>
      </c>
      <c r="C13" s="97" t="s">
        <v>854</v>
      </c>
    </row>
    <row r="14" spans="1:3" ht="15" customHeight="1">
      <c r="A14" s="100" t="str">
        <f>"CB"&amp;TEXT(ROW()-2,"000")</f>
        <v>CB012</v>
      </c>
      <c r="B14" s="100" t="s">
        <v>683</v>
      </c>
      <c r="C14" s="100" t="s">
        <v>684</v>
      </c>
    </row>
    <row r="15" spans="1:3" ht="15" customHeight="1">
      <c r="A15" s="97" t="str">
        <f>"CB"&amp;TEXT(ROW()-2,"000")</f>
        <v>CB013</v>
      </c>
      <c r="B15" s="97" t="s">
        <v>861</v>
      </c>
      <c r="C15" s="97" t="s">
        <v>862</v>
      </c>
    </row>
    <row r="16" spans="1:3" ht="15" customHeight="1">
      <c r="A16" s="100"/>
      <c r="B16" s="100"/>
      <c r="C16" s="100"/>
    </row>
    <row r="17" spans="1:3" ht="15" customHeight="1">
      <c r="A17" s="97"/>
      <c r="B17" s="97"/>
      <c r="C17" s="97"/>
    </row>
    <row r="18" spans="1:3" ht="15" customHeight="1">
      <c r="A18" s="100"/>
      <c r="B18" s="100"/>
      <c r="C18" s="100"/>
    </row>
    <row r="19" spans="1:3" ht="15" customHeight="1">
      <c r="A19" s="97"/>
      <c r="B19" s="97"/>
      <c r="C19" s="97"/>
    </row>
    <row r="20" spans="1:3" ht="15" customHeight="1">
      <c r="A20" s="100"/>
      <c r="B20" s="100"/>
      <c r="C20" s="100"/>
    </row>
    <row r="21" spans="1:3" ht="15" customHeight="1">
      <c r="A21" s="97"/>
      <c r="B21" s="97"/>
      <c r="C21" s="97"/>
    </row>
    <row r="22" spans="1:3" ht="15" customHeight="1">
      <c r="A22" s="100"/>
      <c r="B22" s="100"/>
      <c r="C22" s="100"/>
    </row>
    <row r="23" spans="1:3" ht="15" customHeight="1">
      <c r="A23" s="97"/>
      <c r="B23" s="97"/>
      <c r="C23" s="97"/>
    </row>
    <row r="24" spans="1:3" ht="15" customHeight="1">
      <c r="A24" s="100"/>
      <c r="B24" s="100"/>
      <c r="C24" s="100"/>
    </row>
    <row r="25" spans="1:3" ht="15" customHeight="1">
      <c r="A25" s="97"/>
      <c r="B25" s="97"/>
      <c r="C25" s="97"/>
    </row>
    <row r="26" spans="1:3" ht="15" customHeight="1">
      <c r="A26" s="100"/>
      <c r="B26" s="100"/>
      <c r="C26" s="100"/>
    </row>
    <row r="27" spans="1:3" ht="15" customHeight="1">
      <c r="A27" s="97"/>
      <c r="B27" s="97"/>
      <c r="C27" s="97"/>
    </row>
    <row r="28" spans="1:3" ht="15" customHeight="1">
      <c r="A28" s="100"/>
      <c r="B28" s="100"/>
      <c r="C28" s="100"/>
    </row>
    <row r="29" spans="1:3" ht="15" customHeight="1">
      <c r="A29" s="97"/>
      <c r="B29" s="97"/>
      <c r="C29" s="97"/>
    </row>
    <row r="30" spans="1:3" ht="15" customHeight="1">
      <c r="A30" s="100"/>
      <c r="B30" s="100"/>
      <c r="C30" s="100"/>
    </row>
    <row r="31" spans="1:3" ht="15" customHeight="1">
      <c r="A31" s="97"/>
      <c r="B31" s="97"/>
      <c r="C31" s="97"/>
    </row>
    <row r="32" spans="1:3" ht="15" customHeight="1">
      <c r="A32" s="100"/>
      <c r="B32" s="100"/>
      <c r="C32" s="100"/>
    </row>
    <row r="33" spans="1:3" ht="15" customHeight="1">
      <c r="A33" s="97"/>
      <c r="B33" s="97"/>
      <c r="C33" s="97"/>
    </row>
    <row r="34" spans="1:3" ht="15" customHeight="1">
      <c r="A34" s="100"/>
      <c r="B34" s="100"/>
      <c r="C34" s="100"/>
    </row>
    <row r="35" spans="1:3" ht="15" customHeight="1">
      <c r="A35" s="97"/>
      <c r="B35" s="97"/>
      <c r="C35" s="97"/>
    </row>
    <row r="36" spans="1:3" ht="15" customHeight="1">
      <c r="A36" s="100"/>
      <c r="B36" s="100"/>
      <c r="C36" s="100"/>
    </row>
    <row r="37" spans="1:3" ht="15" customHeight="1">
      <c r="A37" s="97"/>
      <c r="B37" s="97"/>
      <c r="C37" s="97"/>
    </row>
    <row r="38" spans="1:3" ht="15" customHeight="1">
      <c r="A38" s="100"/>
      <c r="B38" s="100"/>
      <c r="C38" s="100"/>
    </row>
    <row r="39" spans="1:3" ht="15" customHeight="1">
      <c r="A39" s="97"/>
      <c r="B39" s="97"/>
      <c r="C39" s="97"/>
    </row>
    <row r="40" spans="1:3" ht="15" customHeight="1">
      <c r="A40" s="100"/>
      <c r="B40" s="100"/>
      <c r="C40" s="100"/>
    </row>
    <row r="41" spans="1:3" ht="15" customHeight="1">
      <c r="A41" s="97"/>
      <c r="B41" s="97"/>
      <c r="C41" s="97"/>
    </row>
    <row r="42" spans="1:3" ht="15" customHeight="1">
      <c r="A42" s="100"/>
      <c r="B42" s="100"/>
      <c r="C42" s="100"/>
    </row>
    <row r="43" spans="1:3" ht="15" customHeight="1">
      <c r="A43" s="97"/>
      <c r="B43" s="97"/>
      <c r="C43" s="97"/>
    </row>
    <row r="44" spans="1:3" ht="15" customHeight="1">
      <c r="A44" s="100"/>
      <c r="B44" s="100"/>
      <c r="C44" s="100"/>
    </row>
    <row r="45" spans="1:3" ht="15" customHeight="1">
      <c r="A45" s="97"/>
      <c r="B45" s="97"/>
      <c r="C45" s="97"/>
    </row>
    <row r="46" spans="1:3" ht="15" customHeight="1">
      <c r="A46" s="100"/>
      <c r="B46" s="100"/>
      <c r="C46" s="100"/>
    </row>
    <row r="47" spans="1:3" ht="15" customHeight="1">
      <c r="A47" s="97"/>
      <c r="B47" s="97"/>
      <c r="C47" s="97"/>
    </row>
    <row r="48" spans="1:3" ht="15" customHeight="1">
      <c r="A48" s="100"/>
      <c r="B48" s="100"/>
      <c r="C48" s="100"/>
    </row>
    <row r="49" spans="1:3" ht="15" customHeight="1">
      <c r="A49" s="97"/>
      <c r="B49" s="97"/>
      <c r="C49" s="97"/>
    </row>
    <row r="50" spans="1:3" ht="15" customHeight="1">
      <c r="A50" s="100"/>
      <c r="B50" s="100"/>
      <c r="C50" s="100"/>
    </row>
    <row r="51" spans="1:3" ht="15" customHeight="1">
      <c r="A51" s="97"/>
      <c r="B51" s="97"/>
      <c r="C51" s="97"/>
    </row>
    <row r="52" spans="1:3" ht="15" customHeight="1">
      <c r="A52" s="100"/>
      <c r="B52" s="100"/>
      <c r="C52" s="100"/>
    </row>
    <row r="53" spans="1:3" ht="15" customHeight="1">
      <c r="A53" s="97"/>
      <c r="B53" s="97"/>
      <c r="C53" s="97"/>
    </row>
    <row r="54" spans="1:3" ht="15" customHeight="1">
      <c r="A54" s="100"/>
      <c r="B54" s="100"/>
      <c r="C54" s="100"/>
    </row>
    <row r="55" spans="1:3" ht="15" customHeight="1">
      <c r="A55" s="97"/>
      <c r="B55" s="97"/>
      <c r="C55" s="97"/>
    </row>
    <row r="56" spans="1:3" ht="15" customHeight="1">
      <c r="A56" s="100"/>
      <c r="B56" s="100"/>
      <c r="C56" s="100"/>
    </row>
    <row r="57" spans="1:3" ht="15" customHeight="1">
      <c r="A57" s="97"/>
      <c r="B57" s="97"/>
      <c r="C57" s="97"/>
    </row>
    <row r="58" spans="1:3" ht="15" customHeight="1">
      <c r="A58" s="100"/>
      <c r="B58" s="100"/>
      <c r="C58" s="100"/>
    </row>
    <row r="59" spans="1:3" ht="15" customHeight="1">
      <c r="A59" s="97"/>
      <c r="B59" s="97"/>
      <c r="C59" s="97"/>
    </row>
    <row r="60" spans="1:3" ht="15" customHeight="1">
      <c r="A60" s="100"/>
      <c r="B60" s="100"/>
      <c r="C60" s="100"/>
    </row>
    <row r="61" spans="1:3" ht="15" customHeight="1">
      <c r="A61" s="97"/>
      <c r="B61" s="97"/>
      <c r="C61" s="97"/>
    </row>
    <row r="62" spans="1:3" ht="15" customHeight="1">
      <c r="A62" s="100"/>
      <c r="B62" s="100"/>
      <c r="C62" s="100"/>
    </row>
    <row r="63" spans="1:3" ht="15" customHeight="1">
      <c r="A63" s="97"/>
      <c r="B63" s="97"/>
      <c r="C63" s="97"/>
    </row>
    <row r="64" spans="1:3" ht="15" customHeight="1">
      <c r="A64" s="100"/>
      <c r="B64" s="100"/>
      <c r="C64" s="100"/>
    </row>
    <row r="65" spans="1:3" ht="15" customHeight="1">
      <c r="A65" s="97"/>
      <c r="B65" s="97"/>
      <c r="C65" s="97"/>
    </row>
    <row r="66" spans="1:3" ht="15" customHeight="1">
      <c r="A66" s="100"/>
      <c r="B66" s="100"/>
      <c r="C66" s="100"/>
    </row>
    <row r="67" spans="1:3" ht="15" customHeight="1">
      <c r="A67" s="97"/>
      <c r="B67" s="97"/>
      <c r="C67" s="97"/>
    </row>
    <row r="68" spans="1:3" ht="15" customHeight="1">
      <c r="A68" s="100"/>
      <c r="B68" s="100"/>
      <c r="C68" s="100"/>
    </row>
    <row r="69" spans="1:3" ht="15" customHeight="1">
      <c r="A69" s="97"/>
      <c r="B69" s="97"/>
      <c r="C69" s="97"/>
    </row>
    <row r="70" spans="1:3" ht="15" customHeight="1">
      <c r="A70" s="100"/>
      <c r="B70" s="100"/>
      <c r="C70" s="100"/>
    </row>
    <row r="71" spans="1:3" ht="15" customHeight="1">
      <c r="A71" s="97"/>
      <c r="B71" s="97"/>
      <c r="C71" s="97"/>
    </row>
    <row r="72" spans="1:3" ht="15" customHeight="1">
      <c r="A72" s="100"/>
      <c r="B72" s="100"/>
      <c r="C72" s="100"/>
    </row>
    <row r="73" spans="1:3" ht="15" customHeight="1">
      <c r="A73" s="97"/>
      <c r="B73" s="97"/>
      <c r="C73" s="97"/>
    </row>
    <row r="74" spans="1:3" ht="15" customHeight="1">
      <c r="A74" s="100"/>
      <c r="B74" s="100"/>
      <c r="C74" s="100"/>
    </row>
    <row r="75" spans="1:3" ht="15" customHeight="1">
      <c r="A75" s="97"/>
      <c r="B75" s="97"/>
      <c r="C75" s="97"/>
    </row>
    <row r="76" spans="1:3" ht="15" customHeight="1">
      <c r="A76" s="100"/>
      <c r="B76" s="100"/>
      <c r="C76" s="100"/>
    </row>
    <row r="77" spans="1:3" ht="15" customHeight="1">
      <c r="A77" s="97"/>
      <c r="B77" s="97"/>
      <c r="C77" s="97"/>
    </row>
    <row r="78" spans="1:3" ht="15" customHeight="1">
      <c r="A78" s="100"/>
      <c r="B78" s="100"/>
      <c r="C78" s="100"/>
    </row>
    <row r="79" spans="1:3" ht="15" customHeight="1">
      <c r="A79" s="97"/>
      <c r="B79" s="97"/>
      <c r="C79" s="97"/>
    </row>
    <row r="80" spans="1:3" ht="15" customHeight="1">
      <c r="A80" s="100"/>
      <c r="B80" s="100"/>
      <c r="C80" s="100"/>
    </row>
    <row r="81" spans="1:3" ht="15" customHeight="1">
      <c r="A81" s="97"/>
      <c r="B81" s="97"/>
      <c r="C81" s="97"/>
    </row>
    <row r="82" spans="1:3" ht="15" customHeight="1">
      <c r="A82" s="100"/>
      <c r="B82" s="100"/>
      <c r="C82" s="100"/>
    </row>
    <row r="83" spans="1:3" ht="15" customHeight="1">
      <c r="A83" s="97"/>
      <c r="B83" s="97"/>
      <c r="C83" s="97"/>
    </row>
    <row r="84" spans="1:3" ht="15" customHeight="1">
      <c r="A84" s="100"/>
      <c r="B84" s="100"/>
      <c r="C84" s="100"/>
    </row>
    <row r="85" spans="1:3" ht="15" customHeight="1">
      <c r="A85" s="97"/>
      <c r="B85" s="97"/>
      <c r="C85" s="97"/>
    </row>
    <row r="86" spans="1:3" ht="15" customHeight="1">
      <c r="A86" s="100"/>
      <c r="B86" s="100"/>
      <c r="C86" s="100"/>
    </row>
    <row r="87" spans="1:3" ht="15" customHeight="1">
      <c r="A87" s="97"/>
      <c r="B87" s="97"/>
      <c r="C87" s="97"/>
    </row>
    <row r="88" spans="1:3" ht="15" customHeight="1">
      <c r="A88" s="100"/>
      <c r="B88" s="100"/>
      <c r="C88" s="100"/>
    </row>
    <row r="89" spans="1:3" ht="15" customHeight="1">
      <c r="A89" s="97"/>
      <c r="B89" s="97"/>
      <c r="C89" s="97"/>
    </row>
    <row r="90" spans="1:3" ht="15" customHeight="1">
      <c r="A90" s="100"/>
      <c r="B90" s="100"/>
      <c r="C90" s="100"/>
    </row>
    <row r="91" spans="1:3" ht="15" customHeight="1">
      <c r="A91" s="97"/>
      <c r="B91" s="97"/>
      <c r="C91" s="97"/>
    </row>
    <row r="92" spans="1:3" ht="15" customHeight="1">
      <c r="A92" s="100"/>
      <c r="B92" s="100"/>
      <c r="C92" s="100"/>
    </row>
    <row r="93" spans="1:3" ht="15" customHeight="1">
      <c r="A93" s="97"/>
      <c r="B93" s="97"/>
      <c r="C93" s="97"/>
    </row>
    <row r="94" spans="1:3" ht="15" customHeight="1">
      <c r="A94" s="100"/>
      <c r="B94" s="100"/>
      <c r="C94" s="100"/>
    </row>
    <row r="95" spans="1:3" ht="15" customHeight="1">
      <c r="A95" s="97"/>
      <c r="B95" s="97"/>
      <c r="C95" s="97"/>
    </row>
    <row r="96" spans="1:3" ht="15" customHeight="1">
      <c r="A96" s="100"/>
      <c r="B96" s="100"/>
      <c r="C96" s="100"/>
    </row>
    <row r="97" spans="1:3" ht="15" customHeight="1">
      <c r="A97" s="97"/>
      <c r="B97" s="97"/>
      <c r="C97" s="97"/>
    </row>
    <row r="98" spans="1:3" ht="15" customHeight="1">
      <c r="A98" s="100"/>
      <c r="B98" s="100"/>
      <c r="C98" s="100"/>
    </row>
    <row r="99" spans="1:3" ht="15" customHeight="1">
      <c r="A99" s="97"/>
      <c r="B99" s="97"/>
      <c r="C99" s="97"/>
    </row>
    <row r="100" spans="1:3" ht="15" customHeight="1">
      <c r="A100" s="100"/>
      <c r="B100" s="100"/>
      <c r="C100" s="100"/>
    </row>
  </sheetData>
  <mergeCells count="1">
    <mergeCell ref="A1:C1"/>
  </mergeCell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1:F8"/>
  <sheetViews>
    <sheetView zoomScaleNormal="100" workbookViewId="0">
      <selection activeCell="C11" sqref="C11"/>
    </sheetView>
  </sheetViews>
  <sheetFormatPr defaultColWidth="11.42578125" defaultRowHeight="15"/>
  <cols>
    <col min="2" max="2" width="28" customWidth="1"/>
    <col min="3" max="3" width="35.5703125" customWidth="1"/>
    <col min="4" max="4" width="32.140625" customWidth="1"/>
    <col min="5" max="5" width="39.28515625" customWidth="1"/>
    <col min="6" max="6" width="33.42578125" customWidth="1"/>
    <col min="7" max="7" width="27" customWidth="1"/>
  </cols>
  <sheetData>
    <row r="1" spans="2:6" ht="15" customHeight="1"/>
    <row r="2" spans="2:6" ht="15" customHeight="1">
      <c r="B2" s="109" t="s">
        <v>627</v>
      </c>
      <c r="C2" s="157" t="s">
        <v>863</v>
      </c>
      <c r="D2" s="157"/>
      <c r="E2" s="110" t="s">
        <v>864</v>
      </c>
      <c r="F2" s="110" t="s">
        <v>865</v>
      </c>
    </row>
    <row r="3" spans="2:6" ht="29.25" customHeight="1">
      <c r="B3" s="111" t="s">
        <v>866</v>
      </c>
      <c r="C3" s="112" t="s">
        <v>867</v>
      </c>
      <c r="D3" s="113" t="s">
        <v>868</v>
      </c>
      <c r="E3" s="114" t="s">
        <v>869</v>
      </c>
      <c r="F3" s="115">
        <v>46108</v>
      </c>
    </row>
    <row r="4" spans="2:6" ht="43.5" customHeight="1">
      <c r="B4" s="116" t="s">
        <v>870</v>
      </c>
      <c r="C4" s="113" t="s">
        <v>871</v>
      </c>
      <c r="D4" s="117" t="s">
        <v>872</v>
      </c>
      <c r="E4" s="114" t="s">
        <v>873</v>
      </c>
      <c r="F4" s="118">
        <v>46099</v>
      </c>
    </row>
    <row r="5" spans="2:6" ht="57.75" customHeight="1">
      <c r="B5" s="119" t="s">
        <v>644</v>
      </c>
      <c r="C5" s="113" t="s">
        <v>871</v>
      </c>
      <c r="D5" s="113" t="s">
        <v>874</v>
      </c>
      <c r="E5" s="114" t="s">
        <v>875</v>
      </c>
      <c r="F5" s="120" t="s">
        <v>876</v>
      </c>
    </row>
    <row r="6" spans="2:6" ht="43.5" customHeight="1">
      <c r="B6" s="121" t="s">
        <v>877</v>
      </c>
      <c r="C6" s="122" t="s">
        <v>878</v>
      </c>
      <c r="D6" s="122" t="s">
        <v>879</v>
      </c>
      <c r="E6" s="123" t="s">
        <v>880</v>
      </c>
      <c r="F6" s="120" t="s">
        <v>876</v>
      </c>
    </row>
    <row r="7" spans="2:6" ht="101.25" customHeight="1">
      <c r="B7" s="119" t="s">
        <v>881</v>
      </c>
      <c r="C7" s="122" t="s">
        <v>882</v>
      </c>
      <c r="D7" s="122" t="s">
        <v>883</v>
      </c>
      <c r="E7" s="114" t="s">
        <v>884</v>
      </c>
      <c r="F7" s="120" t="s">
        <v>876</v>
      </c>
    </row>
    <row r="8" spans="2:6" ht="43.5" customHeight="1">
      <c r="B8" s="119" t="s">
        <v>885</v>
      </c>
      <c r="C8" s="113" t="s">
        <v>871</v>
      </c>
      <c r="D8" s="122" t="s">
        <v>886</v>
      </c>
      <c r="E8" s="114" t="s">
        <v>887</v>
      </c>
      <c r="F8" s="120" t="s">
        <v>876</v>
      </c>
    </row>
  </sheetData>
  <mergeCells count="1">
    <mergeCell ref="C2:D2"/>
  </mergeCells>
  <pageMargins left="0.7" right="0.7" top="0.75" bottom="0.75"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2:D3"/>
  <sheetViews>
    <sheetView zoomScaleNormal="100" workbookViewId="0">
      <selection activeCell="E6" sqref="E6"/>
    </sheetView>
  </sheetViews>
  <sheetFormatPr defaultColWidth="11.42578125" defaultRowHeight="15"/>
  <cols>
    <col min="2" max="2" width="25.5703125" customWidth="1"/>
  </cols>
  <sheetData>
    <row r="2" spans="2:4" ht="15" customHeight="1">
      <c r="B2" t="s">
        <v>888</v>
      </c>
      <c r="C2" s="124">
        <v>46090</v>
      </c>
      <c r="D2" s="124">
        <v>46094</v>
      </c>
    </row>
    <row r="3" spans="2:4" ht="15" customHeight="1">
      <c r="B3" t="s">
        <v>889</v>
      </c>
      <c r="C3" s="124">
        <f>D2+3</f>
        <v>46097</v>
      </c>
      <c r="D3" s="124">
        <f>C3+4</f>
        <v>46101</v>
      </c>
    </row>
  </sheetData>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M58"/>
  <sheetViews>
    <sheetView zoomScaleNormal="100" workbookViewId="0">
      <selection activeCell="C6" sqref="C6"/>
    </sheetView>
  </sheetViews>
  <sheetFormatPr defaultColWidth="10.7109375" defaultRowHeight="15"/>
  <cols>
    <col min="1" max="1" width="19.7109375" customWidth="1"/>
    <col min="2" max="2" width="25.5703125" customWidth="1"/>
    <col min="3" max="3" width="11.7109375" customWidth="1"/>
    <col min="4" max="4" width="13.140625" customWidth="1"/>
    <col min="5" max="5" width="10.140625" customWidth="1"/>
    <col min="6" max="6" width="12.140625" customWidth="1"/>
    <col min="7" max="7" width="10.140625" customWidth="1"/>
    <col min="8" max="8" width="12" customWidth="1"/>
    <col min="9" max="9" width="10.140625" customWidth="1"/>
    <col min="10" max="10" width="12.140625" customWidth="1"/>
    <col min="11" max="11" width="19.5703125" customWidth="1"/>
    <col min="12" max="12" width="21.5703125" customWidth="1"/>
    <col min="13" max="13" width="15.85546875" customWidth="1"/>
  </cols>
  <sheetData>
    <row r="1" spans="1:13" ht="15" customHeight="1">
      <c r="A1" s="125" t="s">
        <v>120</v>
      </c>
      <c r="B1" s="125" t="s">
        <v>890</v>
      </c>
      <c r="C1" s="125" t="s">
        <v>891</v>
      </c>
      <c r="D1" s="125" t="s">
        <v>892</v>
      </c>
      <c r="E1" s="125" t="s">
        <v>893</v>
      </c>
      <c r="F1" s="125" t="s">
        <v>894</v>
      </c>
      <c r="G1" s="125" t="s">
        <v>136</v>
      </c>
      <c r="H1" s="125" t="s">
        <v>895</v>
      </c>
      <c r="I1" s="125" t="s">
        <v>230</v>
      </c>
      <c r="J1" s="125" t="s">
        <v>896</v>
      </c>
      <c r="K1" s="125" t="s">
        <v>897</v>
      </c>
      <c r="L1" s="125" t="s">
        <v>898</v>
      </c>
      <c r="M1" s="125" t="s">
        <v>899</v>
      </c>
    </row>
    <row r="2" spans="1:13" ht="15" customHeight="1">
      <c r="A2" s="60" t="s">
        <v>132</v>
      </c>
      <c r="B2" s="126">
        <v>76</v>
      </c>
      <c r="C2" s="126">
        <v>33</v>
      </c>
      <c r="D2" s="127">
        <v>0.43421052631578999</v>
      </c>
      <c r="E2" s="126">
        <v>16</v>
      </c>
      <c r="F2" s="127">
        <v>0.21052631578947401</v>
      </c>
      <c r="G2" s="126">
        <v>10</v>
      </c>
      <c r="H2" s="127">
        <v>0.13157894736842099</v>
      </c>
      <c r="I2" s="126"/>
      <c r="J2" s="127"/>
      <c r="K2" s="126">
        <v>17</v>
      </c>
      <c r="L2" s="127">
        <v>0.22368421052631601</v>
      </c>
      <c r="M2" s="127">
        <v>0.69868421052631602</v>
      </c>
    </row>
    <row r="3" spans="1:13" ht="15" customHeight="1">
      <c r="A3" s="60" t="s">
        <v>227</v>
      </c>
      <c r="B3" s="126">
        <v>53</v>
      </c>
      <c r="C3" s="126"/>
      <c r="D3" s="127"/>
      <c r="E3" s="126">
        <v>3</v>
      </c>
      <c r="F3" s="127">
        <v>5.6603773584905703E-2</v>
      </c>
      <c r="G3" s="126">
        <v>3</v>
      </c>
      <c r="H3" s="127">
        <v>5.6603773584905703E-2</v>
      </c>
      <c r="I3" s="126">
        <v>47</v>
      </c>
      <c r="J3" s="127">
        <v>0.88679245283018904</v>
      </c>
      <c r="K3" s="126"/>
      <c r="L3" s="127"/>
      <c r="M3" s="127">
        <v>0.62830188679245302</v>
      </c>
    </row>
    <row r="4" spans="1:13" ht="15" customHeight="1">
      <c r="A4" s="60" t="s">
        <v>900</v>
      </c>
      <c r="B4" s="126">
        <v>81</v>
      </c>
      <c r="C4" s="126"/>
      <c r="D4" s="127"/>
      <c r="E4" s="126"/>
      <c r="F4" s="127"/>
      <c r="G4" s="126">
        <v>5</v>
      </c>
      <c r="H4" s="127">
        <v>6.1728395061728399E-2</v>
      </c>
      <c r="I4" s="126">
        <v>75</v>
      </c>
      <c r="J4" s="127">
        <v>0.92592592592592604</v>
      </c>
      <c r="K4" s="126"/>
      <c r="L4" s="127"/>
      <c r="M4" s="127">
        <v>0.59876543209876498</v>
      </c>
    </row>
    <row r="5" spans="1:13" ht="15" customHeight="1">
      <c r="A5" s="60" t="s">
        <v>901</v>
      </c>
      <c r="B5" s="126">
        <v>81</v>
      </c>
      <c r="C5" s="126"/>
      <c r="D5" s="127"/>
      <c r="E5" s="126">
        <v>1</v>
      </c>
      <c r="F5" s="127">
        <v>1.2345679012345699E-2</v>
      </c>
      <c r="G5" s="126"/>
      <c r="H5" s="127"/>
      <c r="I5" s="126">
        <v>4</v>
      </c>
      <c r="J5" s="127">
        <v>4.9382716049382699E-2</v>
      </c>
      <c r="K5" s="126"/>
      <c r="L5" s="127"/>
      <c r="M5" s="127">
        <v>4.1975308641975302E-2</v>
      </c>
    </row>
    <row r="6" spans="1:13" ht="15" customHeight="1">
      <c r="A6" s="60" t="s">
        <v>312</v>
      </c>
      <c r="B6" s="126">
        <v>81</v>
      </c>
      <c r="C6" s="128"/>
      <c r="D6" s="127"/>
      <c r="E6" s="126"/>
      <c r="F6" s="127"/>
      <c r="G6" s="126">
        <v>5</v>
      </c>
      <c r="H6" s="127">
        <v>6.1728395061728399E-2</v>
      </c>
      <c r="I6" s="126"/>
      <c r="J6" s="127"/>
      <c r="K6" s="126"/>
      <c r="L6" s="127"/>
      <c r="M6" s="127">
        <v>4.3209876543209902E-2</v>
      </c>
    </row>
    <row r="7" spans="1:13" ht="15" customHeight="1">
      <c r="A7" s="60" t="s">
        <v>902</v>
      </c>
      <c r="B7" s="126">
        <v>4</v>
      </c>
      <c r="C7" s="126"/>
      <c r="D7" s="127"/>
      <c r="E7" s="126"/>
      <c r="F7" s="127"/>
      <c r="G7" s="126">
        <v>3</v>
      </c>
      <c r="H7" s="127">
        <v>0.75</v>
      </c>
      <c r="I7" s="126"/>
      <c r="J7" s="127"/>
      <c r="K7" s="126"/>
      <c r="L7" s="127"/>
      <c r="M7" s="127">
        <v>0.52500000000000002</v>
      </c>
    </row>
    <row r="32" spans="1:9" ht="15" customHeight="1">
      <c r="A32" s="129" t="s">
        <v>903</v>
      </c>
      <c r="B32" s="129" t="s">
        <v>132</v>
      </c>
      <c r="C32" s="60"/>
      <c r="D32" s="60"/>
      <c r="E32" s="60"/>
      <c r="F32" s="60"/>
      <c r="G32" s="60"/>
      <c r="H32" s="60"/>
      <c r="I32" s="60"/>
    </row>
    <row r="33" spans="1:9" ht="15" customHeight="1">
      <c r="A33" s="125" t="s">
        <v>120</v>
      </c>
      <c r="B33" s="125" t="s">
        <v>128</v>
      </c>
      <c r="C33" s="125" t="s">
        <v>904</v>
      </c>
      <c r="D33" s="125" t="s">
        <v>905</v>
      </c>
      <c r="E33" s="125" t="s">
        <v>906</v>
      </c>
      <c r="F33" s="125" t="s">
        <v>907</v>
      </c>
      <c r="G33" s="125" t="s">
        <v>908</v>
      </c>
      <c r="H33" s="125" t="s">
        <v>909</v>
      </c>
      <c r="I33" s="125" t="s">
        <v>910</v>
      </c>
    </row>
    <row r="34" spans="1:9" ht="15" customHeight="1">
      <c r="A34" s="60" t="s">
        <v>132</v>
      </c>
      <c r="B34" s="60" t="s">
        <v>911</v>
      </c>
      <c r="C34" s="126">
        <v>33</v>
      </c>
      <c r="D34" s="126">
        <v>25.6</v>
      </c>
      <c r="E34" s="126"/>
      <c r="F34" s="126">
        <v>3</v>
      </c>
      <c r="G34" s="126">
        <v>29</v>
      </c>
      <c r="H34" s="126">
        <v>1</v>
      </c>
      <c r="I34" s="126"/>
    </row>
    <row r="35" spans="1:9" ht="15" customHeight="1">
      <c r="A35" s="60" t="s">
        <v>132</v>
      </c>
      <c r="B35" s="60" t="s">
        <v>912</v>
      </c>
      <c r="C35" s="126">
        <v>16</v>
      </c>
      <c r="D35" s="126">
        <v>29.2</v>
      </c>
      <c r="E35" s="126"/>
      <c r="F35" s="126">
        <v>2</v>
      </c>
      <c r="G35" s="126">
        <v>5</v>
      </c>
      <c r="H35" s="126">
        <v>9</v>
      </c>
      <c r="I35" s="126"/>
    </row>
    <row r="36" spans="1:9" ht="15" customHeight="1">
      <c r="A36" s="60" t="s">
        <v>132</v>
      </c>
      <c r="B36" s="60" t="s">
        <v>913</v>
      </c>
      <c r="C36" s="126">
        <v>10</v>
      </c>
      <c r="D36" s="126">
        <v>34.6</v>
      </c>
      <c r="E36" s="126">
        <v>1</v>
      </c>
      <c r="F36" s="126"/>
      <c r="G36" s="126"/>
      <c r="H36" s="126">
        <v>9</v>
      </c>
      <c r="I36" s="126"/>
    </row>
    <row r="37" spans="1:9" ht="15" customHeight="1">
      <c r="A37" s="60" t="s">
        <v>132</v>
      </c>
      <c r="B37" s="60" t="s">
        <v>914</v>
      </c>
      <c r="C37" s="126">
        <v>17</v>
      </c>
      <c r="D37" s="126">
        <v>27</v>
      </c>
      <c r="E37" s="126"/>
      <c r="F37" s="126"/>
      <c r="G37" s="126">
        <v>17</v>
      </c>
      <c r="H37" s="126"/>
      <c r="I37" s="126"/>
    </row>
    <row r="38" spans="1:9" ht="15" customHeight="1">
      <c r="A38" s="60"/>
      <c r="B38" s="60"/>
      <c r="C38" s="60"/>
      <c r="D38" s="60"/>
      <c r="E38" s="60"/>
      <c r="F38" s="60"/>
      <c r="G38" s="60"/>
      <c r="H38" s="60"/>
      <c r="I38" s="60"/>
    </row>
    <row r="39" spans="1:9" ht="15" customHeight="1">
      <c r="A39" s="129" t="s">
        <v>903</v>
      </c>
      <c r="B39" s="129" t="s">
        <v>227</v>
      </c>
      <c r="C39" s="60"/>
      <c r="D39" s="60"/>
      <c r="E39" s="60"/>
      <c r="F39" s="60"/>
      <c r="G39" s="60"/>
      <c r="H39" s="60"/>
      <c r="I39" s="60"/>
    </row>
    <row r="40" spans="1:9" ht="15" customHeight="1">
      <c r="A40" s="125" t="s">
        <v>120</v>
      </c>
      <c r="B40" s="125" t="s">
        <v>128</v>
      </c>
      <c r="C40" s="125" t="s">
        <v>904</v>
      </c>
      <c r="D40" s="125" t="s">
        <v>905</v>
      </c>
      <c r="E40" s="125" t="s">
        <v>906</v>
      </c>
      <c r="F40" s="125" t="s">
        <v>907</v>
      </c>
      <c r="G40" s="125" t="s">
        <v>908</v>
      </c>
      <c r="H40" s="125" t="s">
        <v>909</v>
      </c>
      <c r="I40" s="125" t="s">
        <v>910</v>
      </c>
    </row>
    <row r="41" spans="1:9" ht="15" customHeight="1">
      <c r="A41" s="60" t="s">
        <v>227</v>
      </c>
      <c r="B41" s="60" t="s">
        <v>912</v>
      </c>
      <c r="C41" s="126">
        <v>2</v>
      </c>
      <c r="D41" s="126">
        <v>73</v>
      </c>
      <c r="E41" s="126"/>
      <c r="F41" s="126"/>
      <c r="G41" s="126"/>
      <c r="H41" s="126">
        <v>1</v>
      </c>
      <c r="I41" s="126">
        <v>1</v>
      </c>
    </row>
    <row r="42" spans="1:9" ht="15" customHeight="1">
      <c r="A42" s="60" t="s">
        <v>227</v>
      </c>
      <c r="B42" s="60" t="s">
        <v>913</v>
      </c>
      <c r="C42" s="126">
        <v>3</v>
      </c>
      <c r="D42" s="126">
        <v>7</v>
      </c>
      <c r="E42" s="126">
        <v>1</v>
      </c>
      <c r="F42" s="126">
        <v>2</v>
      </c>
      <c r="G42" s="126"/>
      <c r="H42" s="126"/>
      <c r="I42" s="126"/>
    </row>
    <row r="43" spans="1:9" ht="15" customHeight="1">
      <c r="A43" s="60"/>
      <c r="B43" s="60"/>
      <c r="C43" s="60"/>
      <c r="D43" s="60"/>
      <c r="E43" s="60"/>
      <c r="F43" s="60"/>
      <c r="G43" s="60"/>
      <c r="H43" s="60"/>
      <c r="I43" s="60"/>
    </row>
    <row r="44" spans="1:9" ht="15" customHeight="1">
      <c r="A44" s="129" t="s">
        <v>903</v>
      </c>
      <c r="B44" s="129" t="s">
        <v>900</v>
      </c>
      <c r="C44" s="60"/>
      <c r="D44" s="60"/>
      <c r="E44" s="60"/>
      <c r="F44" s="60"/>
      <c r="G44" s="60"/>
      <c r="H44" s="60"/>
      <c r="I44" s="60"/>
    </row>
    <row r="45" spans="1:9" ht="15" customHeight="1">
      <c r="A45" s="125" t="s">
        <v>120</v>
      </c>
      <c r="B45" s="125" t="s">
        <v>128</v>
      </c>
      <c r="C45" s="125" t="s">
        <v>904</v>
      </c>
      <c r="D45" s="125" t="s">
        <v>905</v>
      </c>
      <c r="E45" s="125" t="s">
        <v>906</v>
      </c>
      <c r="F45" s="125" t="s">
        <v>907</v>
      </c>
      <c r="G45" s="125" t="s">
        <v>908</v>
      </c>
      <c r="H45" s="125" t="s">
        <v>909</v>
      </c>
      <c r="I45" s="125" t="s">
        <v>910</v>
      </c>
    </row>
    <row r="46" spans="1:9" ht="15" customHeight="1">
      <c r="A46" s="60" t="s">
        <v>900</v>
      </c>
      <c r="B46" s="60" t="s">
        <v>913</v>
      </c>
      <c r="C46" s="126">
        <v>5</v>
      </c>
      <c r="D46" s="126">
        <v>4</v>
      </c>
      <c r="E46" s="126">
        <v>5</v>
      </c>
      <c r="F46" s="126"/>
      <c r="G46" s="126"/>
      <c r="H46" s="126"/>
      <c r="I46" s="126"/>
    </row>
    <row r="47" spans="1:9" ht="15" customHeight="1">
      <c r="A47" s="60"/>
      <c r="B47" s="60"/>
      <c r="C47" s="60"/>
      <c r="D47" s="60"/>
      <c r="E47" s="60"/>
      <c r="F47" s="60"/>
      <c r="G47" s="60"/>
      <c r="H47" s="60"/>
      <c r="I47" s="60"/>
    </row>
    <row r="48" spans="1:9" ht="15" customHeight="1">
      <c r="A48" s="129" t="s">
        <v>903</v>
      </c>
      <c r="B48" s="129" t="s">
        <v>901</v>
      </c>
      <c r="C48" s="60"/>
      <c r="D48" s="60"/>
      <c r="E48" s="60"/>
      <c r="F48" s="60"/>
      <c r="G48" s="60"/>
      <c r="H48" s="60"/>
      <c r="I48" s="60"/>
    </row>
    <row r="49" spans="1:9" ht="15" customHeight="1">
      <c r="A49" s="125" t="s">
        <v>120</v>
      </c>
      <c r="B49" s="125" t="s">
        <v>128</v>
      </c>
      <c r="C49" s="125" t="s">
        <v>904</v>
      </c>
      <c r="D49" s="125" t="s">
        <v>905</v>
      </c>
      <c r="E49" s="125" t="s">
        <v>906</v>
      </c>
      <c r="F49" s="125" t="s">
        <v>907</v>
      </c>
      <c r="G49" s="125" t="s">
        <v>908</v>
      </c>
      <c r="H49" s="125" t="s">
        <v>909</v>
      </c>
      <c r="I49" s="125" t="s">
        <v>910</v>
      </c>
    </row>
    <row r="50" spans="1:9" ht="15" customHeight="1">
      <c r="A50" s="60" t="s">
        <v>901</v>
      </c>
      <c r="B50" s="60" t="s">
        <v>912</v>
      </c>
      <c r="C50" s="126">
        <v>1</v>
      </c>
      <c r="D50" s="126">
        <v>147</v>
      </c>
      <c r="E50" s="126"/>
      <c r="F50" s="126"/>
      <c r="G50" s="126"/>
      <c r="H50" s="126"/>
      <c r="I50" s="126">
        <v>1</v>
      </c>
    </row>
    <row r="51" spans="1:9" ht="15" customHeight="1">
      <c r="A51" s="60"/>
      <c r="B51" s="60"/>
      <c r="C51" s="60"/>
      <c r="D51" s="60"/>
      <c r="E51" s="60"/>
      <c r="F51" s="60"/>
      <c r="G51" s="60"/>
      <c r="H51" s="60"/>
      <c r="I51" s="60"/>
    </row>
    <row r="52" spans="1:9" ht="15" customHeight="1">
      <c r="A52" s="129" t="s">
        <v>903</v>
      </c>
      <c r="B52" s="129" t="s">
        <v>312</v>
      </c>
      <c r="C52" s="60"/>
      <c r="D52" s="60"/>
      <c r="E52" s="60"/>
      <c r="F52" s="60"/>
      <c r="G52" s="60"/>
      <c r="H52" s="60"/>
      <c r="I52" s="60"/>
    </row>
    <row r="53" spans="1:9" ht="15" customHeight="1">
      <c r="A53" s="125" t="s">
        <v>120</v>
      </c>
      <c r="B53" s="125" t="s">
        <v>128</v>
      </c>
      <c r="C53" s="125" t="s">
        <v>904</v>
      </c>
      <c r="D53" s="125" t="s">
        <v>905</v>
      </c>
      <c r="E53" s="125" t="s">
        <v>906</v>
      </c>
      <c r="F53" s="125" t="s">
        <v>907</v>
      </c>
      <c r="G53" s="125" t="s">
        <v>908</v>
      </c>
      <c r="H53" s="125" t="s">
        <v>909</v>
      </c>
      <c r="I53" s="125" t="s">
        <v>910</v>
      </c>
    </row>
    <row r="54" spans="1:9" ht="15" customHeight="1">
      <c r="A54" s="60" t="s">
        <v>312</v>
      </c>
      <c r="B54" s="60" t="s">
        <v>913</v>
      </c>
      <c r="C54" s="126">
        <v>5</v>
      </c>
      <c r="D54" s="126"/>
      <c r="E54" s="126">
        <v>5</v>
      </c>
      <c r="F54" s="126"/>
      <c r="G54" s="126"/>
      <c r="H54" s="126"/>
      <c r="I54" s="126"/>
    </row>
    <row r="55" spans="1:9" ht="15" customHeight="1">
      <c r="A55" s="60"/>
      <c r="B55" s="60"/>
      <c r="C55" s="60"/>
      <c r="D55" s="60"/>
      <c r="E55" s="60"/>
      <c r="F55" s="60"/>
      <c r="G55" s="60"/>
      <c r="H55" s="60"/>
      <c r="I55" s="60"/>
    </row>
    <row r="56" spans="1:9" ht="15" customHeight="1">
      <c r="A56" s="129" t="s">
        <v>903</v>
      </c>
      <c r="B56" s="129" t="s">
        <v>902</v>
      </c>
      <c r="C56" s="60"/>
      <c r="D56" s="60"/>
      <c r="E56" s="60"/>
      <c r="F56" s="60"/>
      <c r="G56" s="60"/>
      <c r="H56" s="60"/>
      <c r="I56" s="60"/>
    </row>
    <row r="57" spans="1:9" ht="15" customHeight="1">
      <c r="A57" s="125" t="s">
        <v>120</v>
      </c>
      <c r="B57" s="125" t="s">
        <v>128</v>
      </c>
      <c r="C57" s="125" t="s">
        <v>904</v>
      </c>
      <c r="D57" s="125" t="s">
        <v>905</v>
      </c>
      <c r="E57" s="125" t="s">
        <v>906</v>
      </c>
      <c r="F57" s="125" t="s">
        <v>907</v>
      </c>
      <c r="G57" s="125" t="s">
        <v>908</v>
      </c>
      <c r="H57" s="125" t="s">
        <v>909</v>
      </c>
      <c r="I57" s="125" t="s">
        <v>910</v>
      </c>
    </row>
    <row r="58" spans="1:9" ht="15" customHeight="1">
      <c r="A58" s="60" t="s">
        <v>902</v>
      </c>
      <c r="B58" s="60" t="s">
        <v>913</v>
      </c>
      <c r="C58" s="126">
        <v>3</v>
      </c>
      <c r="D58" s="126">
        <v>8.3000000000000007</v>
      </c>
      <c r="E58" s="126">
        <v>1</v>
      </c>
      <c r="F58" s="126">
        <v>2</v>
      </c>
      <c r="G58" s="126"/>
      <c r="H58" s="126"/>
      <c r="I58" s="126"/>
    </row>
  </sheetData>
  <pageMargins left="0.7" right="0.7" top="0.75" bottom="0.75" header="0.511811023622047" footer="0.511811023622047"/>
  <pageSetup paperSize="9"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Oscar Lozano</dc:creator>
  <cp:keywords/>
  <dc:description/>
  <cp:lastModifiedBy>JESUS DANIEL MENDOZA MERIÑO</cp:lastModifiedBy>
  <cp:revision>13</cp:revision>
  <dcterms:created xsi:type="dcterms:W3CDTF">2026-02-27T13:20:05Z</dcterms:created>
  <dcterms:modified xsi:type="dcterms:W3CDTF">2026-06-01T15:54:35Z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0x01010044C37D7291FF474FA6995D50209384C7</vt:lpwstr>
  </property>
  <property fmtid="{D5CDD505-2E9C-101B-9397-08002B2CF9AE}" pid="3" name="MediaServiceImageTags">
    <vt:lpwstr/>
  </property>
</Properties>
</file>