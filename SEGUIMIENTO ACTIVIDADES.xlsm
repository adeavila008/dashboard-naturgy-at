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P503\Downloads\"/>
    </mc:Choice>
  </mc:AlternateContent>
  <xr:revisionPtr revIDLastSave="0" documentId="8_{4FA049DE-0275-4C31-9C63-A9815D57104D}" xr6:coauthVersionLast="47" xr6:coauthVersionMax="47" xr10:uidLastSave="{00000000-0000-0000-0000-000000000000}"/>
  <bookViews>
    <workbookView xWindow="-25320" yWindow="-120" windowWidth="25440" windowHeight="15270" xr2:uid="{8177FEF2-0EC2-4BFB-A3CE-ABC69E923C11}"/>
  </bookViews>
  <sheets>
    <sheet name="Avance proyectos" sheetId="9" r:id="rId1"/>
    <sheet name="Avance proy." sheetId="215" r:id="rId2"/>
    <sheet name="Semana Actual" sheetId="1" state="hidden" r:id="rId3"/>
    <sheet name="Semana Proyectada" sheetId="4" state="hidden" r:id="rId4"/>
    <sheet name="Proyectos Naturgy " sheetId="2" state="hidden" r:id="rId5"/>
    <sheet name="Resumen" sheetId="214" r:id="rId6"/>
    <sheet name="Hoja2" sheetId="6" state="hidden" r:id="rId7"/>
    <sheet name="Reporte de horas" sheetId="217" r:id="rId8"/>
    <sheet name="Asignacion Equipos" sheetId="216" r:id="rId9"/>
  </sheets>
  <functionGroups builtInGroupCount="19"/>
  <definedNames>
    <definedName name="_xlnm._FilterDatabase" localSheetId="0" hidden="1">'Avance proyectos'!$B$2:$M$446</definedName>
    <definedName name="_xleta.TODAY" hidden="1" xlm="1">#NAME?</definedName>
    <definedName name="_xlnm.Print_Area" localSheetId="5">Resumen!$A:$L</definedName>
    <definedName name="ComprobaciónFecha">#REF!*IF(#REF!="SEMANAS",7,IF(#REF!="DÍAS",1,30))</definedName>
    <definedName name="ReglaCasill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4" i="217" l="1"/>
  <c r="B84" i="4"/>
  <c r="B85" i="4" s="1"/>
  <c r="B86" i="4" s="1"/>
  <c r="B87" i="4" s="1"/>
  <c r="B88" i="4" s="1"/>
  <c r="B83" i="4"/>
  <c r="B84" i="1"/>
  <c r="B85" i="1" s="1"/>
  <c r="B86" i="1" s="1"/>
  <c r="B87" i="1" s="1"/>
  <c r="B88" i="1" s="1"/>
  <c r="B83" i="1"/>
  <c r="B100" i="1"/>
  <c r="B101" i="1" s="1"/>
  <c r="B102" i="1" s="1"/>
  <c r="B103" i="1" s="1"/>
  <c r="B104" i="1" s="1"/>
  <c r="B99" i="1"/>
  <c r="B92" i="1"/>
  <c r="B93" i="1" s="1"/>
  <c r="B94" i="1" s="1"/>
  <c r="B95" i="1" s="1"/>
  <c r="B96" i="1" s="1"/>
  <c r="B91" i="1"/>
  <c r="B3" i="1"/>
  <c r="B4" i="1"/>
  <c r="B5" i="1" s="1"/>
  <c r="B6" i="1" s="1"/>
  <c r="B7" i="1" s="1"/>
  <c r="B8" i="1" s="1"/>
  <c r="B11" i="1"/>
  <c r="B12" i="1"/>
  <c r="B13" i="1" s="1"/>
  <c r="B14" i="1" s="1"/>
  <c r="B15" i="1" s="1"/>
  <c r="B16" i="1" s="1"/>
  <c r="B19" i="1"/>
  <c r="B20" i="1"/>
  <c r="B21" i="1" s="1"/>
  <c r="B22" i="1" s="1"/>
  <c r="B23" i="1" s="1"/>
  <c r="B24" i="1" s="1"/>
  <c r="B27" i="1"/>
  <c r="B28" i="1"/>
  <c r="B29" i="1" s="1"/>
  <c r="B30" i="1" s="1"/>
  <c r="B31" i="1" s="1"/>
  <c r="B32" i="1" s="1"/>
  <c r="B35" i="1"/>
  <c r="B36" i="1"/>
  <c r="B37" i="1" s="1"/>
  <c r="B38" i="1" s="1"/>
  <c r="B39" i="1" s="1"/>
  <c r="B40" i="1" s="1"/>
  <c r="B43" i="1"/>
  <c r="B44" i="1"/>
  <c r="B45" i="1" s="1"/>
  <c r="B46" i="1" s="1"/>
  <c r="B47" i="1" s="1"/>
  <c r="B48" i="1" s="1"/>
  <c r="B51" i="1"/>
  <c r="B52" i="1"/>
  <c r="I52" i="1" s="1"/>
  <c r="B59" i="1"/>
  <c r="B60" i="1"/>
  <c r="B61" i="1" s="1"/>
  <c r="B62" i="1" s="1"/>
  <c r="B63" i="1" s="1"/>
  <c r="B64" i="1" s="1"/>
  <c r="B67" i="1"/>
  <c r="B68" i="1"/>
  <c r="B69" i="1" s="1"/>
  <c r="B70" i="1" s="1"/>
  <c r="B71" i="1" s="1"/>
  <c r="B72" i="1" s="1"/>
  <c r="B75" i="1"/>
  <c r="B76" i="1"/>
  <c r="B77" i="1" s="1"/>
  <c r="B78" i="1" s="1"/>
  <c r="B79" i="1" s="1"/>
  <c r="B80" i="1" s="1"/>
  <c r="B53" i="1" l="1"/>
  <c r="I76" i="4"/>
  <c r="I77" i="4" s="1"/>
  <c r="I78" i="4" s="1"/>
  <c r="I79" i="4" s="1"/>
  <c r="I80" i="4" s="1"/>
  <c r="B35" i="4" l="1"/>
  <c r="I12" i="1"/>
  <c r="B54" i="1"/>
  <c r="I53" i="1"/>
  <c r="J52" i="1"/>
  <c r="B12" i="4"/>
  <c r="B13" i="4" s="1"/>
  <c r="B14" i="4" s="1"/>
  <c r="B15" i="4" s="1"/>
  <c r="B16" i="4" s="1"/>
  <c r="B44" i="4"/>
  <c r="B45" i="4" s="1"/>
  <c r="B46" i="4" s="1"/>
  <c r="B47" i="4" s="1"/>
  <c r="B48" i="4" s="1"/>
  <c r="B76" i="4"/>
  <c r="B77" i="4" s="1"/>
  <c r="B78" i="4" s="1"/>
  <c r="B79" i="4" s="1"/>
  <c r="B80" i="4" s="1"/>
  <c r="B19" i="4"/>
  <c r="B51" i="4"/>
  <c r="B91" i="4"/>
  <c r="B20" i="4"/>
  <c r="B21" i="4" s="1"/>
  <c r="B22" i="4" s="1"/>
  <c r="B23" i="4" s="1"/>
  <c r="B24" i="4" s="1"/>
  <c r="B52" i="4"/>
  <c r="I52" i="4" s="1"/>
  <c r="B92" i="4"/>
  <c r="B93" i="4" s="1"/>
  <c r="B94" i="4" s="1"/>
  <c r="B95" i="4" s="1"/>
  <c r="B96" i="4" s="1"/>
  <c r="B27" i="4"/>
  <c r="B28" i="4"/>
  <c r="B29" i="4" s="1"/>
  <c r="B30" i="4" s="1"/>
  <c r="B31" i="4" s="1"/>
  <c r="B32" i="4" s="1"/>
  <c r="B60" i="4"/>
  <c r="B100" i="4"/>
  <c r="B101" i="4" s="1"/>
  <c r="B102" i="4" s="1"/>
  <c r="B103" i="4" s="1"/>
  <c r="B104" i="4" s="1"/>
  <c r="B3" i="4"/>
  <c r="B4" i="4"/>
  <c r="B5" i="4" s="1"/>
  <c r="B6" i="4" s="1"/>
  <c r="B7" i="4" s="1"/>
  <c r="B8" i="4" s="1"/>
  <c r="B36" i="4"/>
  <c r="B37" i="4" s="1"/>
  <c r="B38" i="4" s="1"/>
  <c r="B39" i="4" s="1"/>
  <c r="B40" i="4" s="1"/>
  <c r="B68" i="4"/>
  <c r="B69" i="4" s="1"/>
  <c r="B70" i="4" s="1"/>
  <c r="B71" i="4" s="1"/>
  <c r="B72" i="4" s="1"/>
  <c r="B11" i="4"/>
  <c r="B43" i="4"/>
  <c r="B75" i="4"/>
  <c r="B61" i="4" l="1"/>
  <c r="B62" i="4" s="1"/>
  <c r="B63" i="4" s="1"/>
  <c r="B64" i="4" s="1"/>
  <c r="I60" i="4"/>
  <c r="B99" i="4"/>
  <c r="B67" i="4"/>
  <c r="B59" i="4"/>
  <c r="B55" i="1"/>
  <c r="I54" i="1"/>
  <c r="J53" i="1"/>
  <c r="B53" i="4"/>
  <c r="J52" i="4" l="1"/>
  <c r="I53" i="4"/>
  <c r="B56" i="1"/>
  <c r="I55" i="1"/>
  <c r="J54" i="1"/>
  <c r="B54" i="4"/>
  <c r="J53" i="4" l="1"/>
  <c r="I54" i="4"/>
  <c r="I56" i="1"/>
  <c r="J55" i="1"/>
  <c r="J56" i="1" s="1"/>
  <c r="B55" i="4"/>
  <c r="J54" i="4" l="1"/>
  <c r="I55" i="4"/>
  <c r="B56" i="4"/>
  <c r="J55" i="4" l="1"/>
  <c r="J56" i="4" s="1"/>
  <c r="I56" i="4"/>
</calcChain>
</file>

<file path=xl/sharedStrings.xml><?xml version="1.0" encoding="utf-8"?>
<sst xmlns="http://schemas.openxmlformats.org/spreadsheetml/2006/main" count="3278" uniqueCount="554">
  <si>
    <t>PROGRAMACIÓN DE TAREAS LÍNEAS DE TRANSMISIÓN</t>
  </si>
  <si>
    <t>Proyecto</t>
  </si>
  <si>
    <t>Etapa proyecto</t>
  </si>
  <si>
    <t>Carpeta</t>
  </si>
  <si>
    <t>Entregables</t>
  </si>
  <si>
    <t>Responsable</t>
  </si>
  <si>
    <t>Revisor</t>
  </si>
  <si>
    <t>Revision</t>
  </si>
  <si>
    <t>Porcentaje</t>
  </si>
  <si>
    <t>Estado</t>
  </si>
  <si>
    <t>Fecha envio</t>
  </si>
  <si>
    <t xml:space="preserve">Fecha respuesta </t>
  </si>
  <si>
    <t>Observaciones</t>
  </si>
  <si>
    <t>Chorrera-El Torno</t>
  </si>
  <si>
    <t>Estudios previos</t>
  </si>
  <si>
    <t xml:space="preserve">Informe estudio de suelos </t>
  </si>
  <si>
    <t>Aprobado</t>
  </si>
  <si>
    <t>Aparece en revision porque en V6 se aprobo y despues se volvio a enviar</t>
  </si>
  <si>
    <t xml:space="preserve">Informe de levantamiento topográfico </t>
  </si>
  <si>
    <t>Aprobado con comentarios, no se ven comentarios</t>
  </si>
  <si>
    <t xml:space="preserve">Informe de Georradar </t>
  </si>
  <si>
    <t xml:space="preserve">Plano Levantamiento topográfico </t>
  </si>
  <si>
    <t xml:space="preserve">Plano Georradar </t>
  </si>
  <si>
    <t>Ingenieria Detalle</t>
  </si>
  <si>
    <t>SST</t>
  </si>
  <si>
    <t xml:space="preserve">Estudio de seguridad y salud </t>
  </si>
  <si>
    <t>En revisión</t>
  </si>
  <si>
    <t>Se devolvio, realizar seguimiento</t>
  </si>
  <si>
    <t>Condiciones_OC</t>
  </si>
  <si>
    <t>Condiciones de contratación obras civiles</t>
  </si>
  <si>
    <t>Rechazado</t>
  </si>
  <si>
    <t>No veo la revision</t>
  </si>
  <si>
    <t>EETT_OC</t>
  </si>
  <si>
    <t>Especificaciones técnicas obras civiles</t>
  </si>
  <si>
    <t>No tiene incidencias abiertas</t>
  </si>
  <si>
    <t>Especificación técnica pica de puesta a tierra 5/8"</t>
  </si>
  <si>
    <t>Hay incidencias abiertas</t>
  </si>
  <si>
    <t xml:space="preserve">Especificación técnica cable desnudo </t>
  </si>
  <si>
    <t>Especificaciones Técnicas de perforación horizontal dirigida (PHD)</t>
  </si>
  <si>
    <t>Presupuesto_OC</t>
  </si>
  <si>
    <t xml:space="preserve">Formulario de precios de obras civiles </t>
  </si>
  <si>
    <t>Se debe actualizar</t>
  </si>
  <si>
    <t xml:space="preserve">Preciario de obra civil </t>
  </si>
  <si>
    <t>Cronograma_OC</t>
  </si>
  <si>
    <t>Cronograma</t>
  </si>
  <si>
    <t>Memorias_OC</t>
  </si>
  <si>
    <t xml:space="preserve">Memoria de cámara de giro </t>
  </si>
  <si>
    <t>Memoria de canalizaciones</t>
  </si>
  <si>
    <t xml:space="preserve">Memoria de cámara de halado </t>
  </si>
  <si>
    <t xml:space="preserve">Memoria de cámara de empalme </t>
  </si>
  <si>
    <t>Modelos_OC</t>
  </si>
  <si>
    <t xml:space="preserve">Listado de planos </t>
  </si>
  <si>
    <t xml:space="preserve">Plano de localización </t>
  </si>
  <si>
    <t xml:space="preserve">Plano trayectoria general </t>
  </si>
  <si>
    <t xml:space="preserve">Plano de señalización vial </t>
  </si>
  <si>
    <t>Plano planta perfil general</t>
  </si>
  <si>
    <t>Plano planta perfil  subterránea  tramo 1</t>
  </si>
  <si>
    <t>Plano planta perfil  subterránea  tramo 2</t>
  </si>
  <si>
    <t>Plano planta perfil  subterránea  tramo 3</t>
  </si>
  <si>
    <t>Plano planta perfil  subterránea  tramo 4</t>
  </si>
  <si>
    <t>Plano planta perfil  subterránea  tramo 5</t>
  </si>
  <si>
    <t xml:space="preserve">Plano de demoliciones </t>
  </si>
  <si>
    <t xml:space="preserve">Plano cámara de empalme </t>
  </si>
  <si>
    <t>Plano cámara de giro</t>
  </si>
  <si>
    <t xml:space="preserve">Plano cámara de halado </t>
  </si>
  <si>
    <t>Plano de secciones de calles</t>
  </si>
  <si>
    <t>Plano Típico de junta, empalmé de losa, cordón y acera</t>
  </si>
  <si>
    <t xml:space="preserve">Modelo general obras civiles </t>
  </si>
  <si>
    <t>se requiere de ajuste del plano de georradar para actualizarlos y enviarlos a revision</t>
  </si>
  <si>
    <t xml:space="preserve">Modelo general planta perfil </t>
  </si>
  <si>
    <t>Modelo general planta perfil - tramo 1-2</t>
  </si>
  <si>
    <t>Modelo general planta perfil - tramo 3-4</t>
  </si>
  <si>
    <t>Modelo general planta perfil - tramo 5-6</t>
  </si>
  <si>
    <t>Modelo general planta perfil - tramo 7-8</t>
  </si>
  <si>
    <t>Modelo general planta perfil - tramo 9-10</t>
  </si>
  <si>
    <t xml:space="preserve">Modelo general de demoliciones </t>
  </si>
  <si>
    <t xml:space="preserve">Modelo cámara de empalme </t>
  </si>
  <si>
    <t>Se especifica incluir cantidades de todo lo relacionado a puesta a tierra</t>
  </si>
  <si>
    <t xml:space="preserve">Modelo cámara de giro </t>
  </si>
  <si>
    <t xml:space="preserve">Modelo cámara de halado </t>
  </si>
  <si>
    <t>Memorias_ME</t>
  </si>
  <si>
    <t>Diseño de Puesta a Tierra</t>
  </si>
  <si>
    <t>Diseño de conductores en canalizaciones</t>
  </si>
  <si>
    <t>Equipos</t>
  </si>
  <si>
    <t>Especificación técnica de cable de potencia</t>
  </si>
  <si>
    <t>Especificación técnica de empalmes subterráneos</t>
  </si>
  <si>
    <t>Especificación técnica de cajas de puesta a tierra</t>
  </si>
  <si>
    <t>Especificación técnica conductor de cobre aislado</t>
  </si>
  <si>
    <t>Especificación técnica SVL</t>
  </si>
  <si>
    <t>Especificación técnica de cable Cu desnudo No. 2/0 AWG</t>
  </si>
  <si>
    <t>Especificaciones técnica de terminales</t>
  </si>
  <si>
    <t>EETT_ME</t>
  </si>
  <si>
    <t>Especificaciones de montaje electromecánico</t>
  </si>
  <si>
    <t>Condiciones_ME</t>
  </si>
  <si>
    <t>Condiciones de contratación montaje electromecánico</t>
  </si>
  <si>
    <t>Presupuesto_ME</t>
  </si>
  <si>
    <t>Lista de precios de suministros y montaje electromecánico</t>
  </si>
  <si>
    <t>Modelos_ME</t>
  </si>
  <si>
    <t>Modelo de trayectoria general electromecánico</t>
  </si>
  <si>
    <t>Listado de planos ME</t>
  </si>
  <si>
    <t>Diagrama unifilar general</t>
  </si>
  <si>
    <t>Plano de diagrama de conexión de pantallas</t>
  </si>
  <si>
    <t>Plano de trayectoria general electromecánico</t>
  </si>
  <si>
    <t>Plano detalle suministro cable de potencia</t>
  </si>
  <si>
    <t>Plano detalle suministro caja de conexión</t>
  </si>
  <si>
    <t>Plano detalle suministro terminal GIS</t>
  </si>
  <si>
    <t>Plano detalle suministro empalme</t>
  </si>
  <si>
    <t>Modelo detalle de puesta a tierra cámaras</t>
  </si>
  <si>
    <t>Plano de puesta a tierra tramo subterráneo</t>
  </si>
  <si>
    <t>Modelo detalle montaje cámara de halado</t>
  </si>
  <si>
    <t>Plano detalle montaje cámara de halado</t>
  </si>
  <si>
    <t>Modelo detalle montaje cámara de empalme</t>
  </si>
  <si>
    <t>Plano detalle montaje cámara de empalme</t>
  </si>
  <si>
    <t>Modelo detalle montaje cámara de giro</t>
  </si>
  <si>
    <t>Plano detalle montaje cámara de giro</t>
  </si>
  <si>
    <t>Cronograma_ME</t>
  </si>
  <si>
    <t>Justo Arosemena</t>
  </si>
  <si>
    <t>Camilo</t>
  </si>
  <si>
    <t>Atender incidencias</t>
  </si>
  <si>
    <t>Especificación técnica sistema de puesta a tierra</t>
  </si>
  <si>
    <t>Memoria de camara de empalme</t>
  </si>
  <si>
    <t>Memoria de camara de halado</t>
  </si>
  <si>
    <t>Modelo trayectoria general</t>
  </si>
  <si>
    <t>Se recibieron incidencias</t>
  </si>
  <si>
    <t>Listado de planos</t>
  </si>
  <si>
    <t>Plano de localización</t>
  </si>
  <si>
    <t>Plano trayectoria general</t>
  </si>
  <si>
    <t>Plano planta perfil tramo subterránea 1</t>
  </si>
  <si>
    <t>Plano planta perfil tramo subterránea 2</t>
  </si>
  <si>
    <t>Plano planta perfil tramo subterránea 3</t>
  </si>
  <si>
    <t>Plano de demoliciones</t>
  </si>
  <si>
    <t xml:space="preserve">Plano secciones de calle </t>
  </si>
  <si>
    <t xml:space="preserve">Plano tipico de junta, empalme de losa, cordón y acera </t>
  </si>
  <si>
    <t>Modelo de camaras empalme</t>
  </si>
  <si>
    <t>Plano detalle de camara de empalmes</t>
  </si>
  <si>
    <t>Modelo de camaras halado</t>
  </si>
  <si>
    <t>Cambiar la descripcion del entregable dice camara de empalme</t>
  </si>
  <si>
    <t>Plano detalle de camara de halado</t>
  </si>
  <si>
    <t>Criterios de diseño de montaje electromecánico</t>
  </si>
  <si>
    <t>Memoria de diseño de puesta a tierra</t>
  </si>
  <si>
    <t>Memoria de diseño de conductores en canalizaciones</t>
  </si>
  <si>
    <t>Especificación técnica suministros electromecánicos</t>
  </si>
  <si>
    <t>Especificación técnica de montaje electromecánico</t>
  </si>
  <si>
    <t>Fichas técnicas de suministros electromecánicos</t>
  </si>
  <si>
    <t xml:space="preserve">Condiciones de contratación obras electromecánicas </t>
  </si>
  <si>
    <t>Lista de precios montaje electromecánico</t>
  </si>
  <si>
    <t>Cronograma de obras electromecánicas</t>
  </si>
  <si>
    <t>Plano esquema PAT pantallas metálicas de los cables</t>
  </si>
  <si>
    <t>Plano detalle estructuras de soporte y conexión de equipos SE</t>
  </si>
  <si>
    <t>Modelo de camaras</t>
  </si>
  <si>
    <t>Plano detalle montaje camaras</t>
  </si>
  <si>
    <t>Plano detalle conexión SPAT</t>
  </si>
  <si>
    <t>Plano detalle suministros electromecánicos</t>
  </si>
  <si>
    <t>Plano detalle estructuras de soporte</t>
  </si>
  <si>
    <t>Llanos Sanchez-Pocrí</t>
  </si>
  <si>
    <t>hay nueva version, pero se aprobo una anterior</t>
  </si>
  <si>
    <t>En proceso</t>
  </si>
  <si>
    <t xml:space="preserve">Especificación técnica varilla de puesta a tierra 5/8” </t>
  </si>
  <si>
    <t>Especificación técnica Cable Cu desnudo No. 4/0 AWG</t>
  </si>
  <si>
    <t>Memoria de camara de  empalme</t>
  </si>
  <si>
    <t xml:space="preserve">Memoria de cimentaciones de estructuras de transmisión </t>
  </si>
  <si>
    <t xml:space="preserve">Memoria de cimentacion estructuras de soporte </t>
  </si>
  <si>
    <t>Plano planta perfil tramo aéreo  1</t>
  </si>
  <si>
    <t>Plano planta perfil tramo aéreo  2</t>
  </si>
  <si>
    <t xml:space="preserve">Plano de cimentación estructuras de transmisión </t>
  </si>
  <si>
    <t xml:space="preserve">Plano de cimentación estructuras de soporte </t>
  </si>
  <si>
    <t xml:space="preserve">Modelo de camaras empalme </t>
  </si>
  <si>
    <t>Modelo  atraque</t>
  </si>
  <si>
    <t>Modelo de cimentaciones de estructuras de soporte</t>
  </si>
  <si>
    <t xml:space="preserve">Modelo de cimentaciones de estructuras de transmisión </t>
  </si>
  <si>
    <t>Memoria de criterios de diseño electromecánico</t>
  </si>
  <si>
    <t>Memoria de cálculo de aislación</t>
  </si>
  <si>
    <t>Memoria de Puesta a Tierra</t>
  </si>
  <si>
    <t>Memoria de cálculo estructuras de transmisión</t>
  </si>
  <si>
    <t>Memoria de cálculo estructura de llegada</t>
  </si>
  <si>
    <t>Memoria de verificación de conductor de fases y cable de guarda</t>
  </si>
  <si>
    <t>Memoria de verificación de herrajes y aisladores</t>
  </si>
  <si>
    <t>Memoria de plantillado (incluye tabla de tendido y anexo .bak)</t>
  </si>
  <si>
    <t>Especificación técnica de suministros tramo aéreo</t>
  </si>
  <si>
    <t>Fichas técnicas de suministros tramo aéreo</t>
  </si>
  <si>
    <t>Especificación técnica de suministros tramo subterráneo</t>
  </si>
  <si>
    <t>Fichas técnicas de suministros tramo subterráneo</t>
  </si>
  <si>
    <t>Especificación técnica de estructuras</t>
  </si>
  <si>
    <t>Especificación de montaje electromecánico tramo aereo</t>
  </si>
  <si>
    <t>Especificación de montaje electromecánico tramo subterraneo</t>
  </si>
  <si>
    <t>Condiciones de contratación electromecánicas tramo aereo</t>
  </si>
  <si>
    <t>Condiciones de contratación electromecánicas tramo subterraneo</t>
  </si>
  <si>
    <t>Presupuesto ME tramo aereo</t>
  </si>
  <si>
    <t>Presupuesto ME tramo subterraneo</t>
  </si>
  <si>
    <t>Modelo trazado general ME</t>
  </si>
  <si>
    <t>Diagrama unifilar ME</t>
  </si>
  <si>
    <t>Modelo tramo subterráneo</t>
  </si>
  <si>
    <t>Plano de esquema de conexión de PAT de la línea subterránea</t>
  </si>
  <si>
    <t>Plano detalle conexión SPAT cámaras</t>
  </si>
  <si>
    <t>Modelo tramo aéreo</t>
  </si>
  <si>
    <t>Plano diseño de estructuras de transmisión</t>
  </si>
  <si>
    <t>Planos arboles de carga</t>
  </si>
  <si>
    <t>Plano de dimensionamiento eléctrico</t>
  </si>
  <si>
    <t>Plano detalle montaje ME estructura de transición</t>
  </si>
  <si>
    <t>Plano de puesta a tierra tramo aéreo</t>
  </si>
  <si>
    <t>Plano de conjunto de armados</t>
  </si>
  <si>
    <t>Plano placas de señalización</t>
  </si>
  <si>
    <t>Modelo estructura de llegada</t>
  </si>
  <si>
    <t>Plano diseño estructura de llegada</t>
  </si>
  <si>
    <t>Cronograma ME aereo</t>
  </si>
  <si>
    <t>Cronograma ME subterraneo</t>
  </si>
  <si>
    <t xml:space="preserve">Panamá III- La Floresta </t>
  </si>
  <si>
    <t>Estudio de traza</t>
  </si>
  <si>
    <t>Angelica</t>
  </si>
  <si>
    <t>Edwin</t>
  </si>
  <si>
    <t>Sebastian</t>
  </si>
  <si>
    <t>Orlando</t>
  </si>
  <si>
    <t>Angelica/Edwin</t>
  </si>
  <si>
    <t>German</t>
  </si>
  <si>
    <t>Santiago II</t>
  </si>
  <si>
    <t>Fabian</t>
  </si>
  <si>
    <t>Alejandro</t>
  </si>
  <si>
    <t>Plano planta perfil tramo aéreo</t>
  </si>
  <si>
    <t>El Coco II</t>
  </si>
  <si>
    <t>Dio aprobacion el revisor</t>
  </si>
  <si>
    <t>San Juan Arama-Granada</t>
  </si>
  <si>
    <t>GEN</t>
  </si>
  <si>
    <t>Informe criterios de diseño</t>
  </si>
  <si>
    <t>ME</t>
  </si>
  <si>
    <t>Memoria de cálculo coordinación de aislamiento</t>
  </si>
  <si>
    <t xml:space="preserve">Edwin </t>
  </si>
  <si>
    <t>Informe de resisitividad del terreno</t>
  </si>
  <si>
    <t>Memoria verificación de herrajes y aisladores</t>
  </si>
  <si>
    <t>PL</t>
  </si>
  <si>
    <t>Memoria de plantillado y arboles de carga</t>
  </si>
  <si>
    <t>Memoria de verificacion de estructuras</t>
  </si>
  <si>
    <t>OC</t>
  </si>
  <si>
    <t>Memoria diseño de cimentaciones</t>
  </si>
  <si>
    <t>Especificación técnica de materiales</t>
  </si>
  <si>
    <t>Fichas técnicas de materiales</t>
  </si>
  <si>
    <t>Especificación de montaje electromecánico</t>
  </si>
  <si>
    <t>Especificacion de obra civil</t>
  </si>
  <si>
    <t>Especificacion de estructuras</t>
  </si>
  <si>
    <t>Jose Vicente</t>
  </si>
  <si>
    <t>Edwin/Angelica</t>
  </si>
  <si>
    <t xml:space="preserve">Plano de puesta a tierra </t>
  </si>
  <si>
    <t>Plano de placas de señalización</t>
  </si>
  <si>
    <t>Plano de dimensionamiento electrico</t>
  </si>
  <si>
    <t>Plano de cimentaciones</t>
  </si>
  <si>
    <t>Plano de siluetas y arboles de carga</t>
  </si>
  <si>
    <t>Plano de localizacion del proyecto</t>
  </si>
  <si>
    <t>Plano planta perfil</t>
  </si>
  <si>
    <t>Tabla de cruces</t>
  </si>
  <si>
    <t>Tabla de estructuras</t>
  </si>
  <si>
    <t>Presupuesto Obra Civil</t>
  </si>
  <si>
    <t>Presupuesto Obra Electromecanica</t>
  </si>
  <si>
    <t>Colaborador</t>
  </si>
  <si>
    <t xml:space="preserve">Rol </t>
  </si>
  <si>
    <t xml:space="preserve">Proyecto </t>
  </si>
  <si>
    <t xml:space="preserve">Cliente </t>
  </si>
  <si>
    <t>Actividad a realizar</t>
  </si>
  <si>
    <t xml:space="preserve">Fecha de inicio </t>
  </si>
  <si>
    <t xml:space="preserve">Fecha fin </t>
  </si>
  <si>
    <t>Observación</t>
  </si>
  <si>
    <t xml:space="preserve">Lunes </t>
  </si>
  <si>
    <t xml:space="preserve">Jose Fabian Pacheco </t>
  </si>
  <si>
    <t xml:space="preserve">Especialista obra civil </t>
  </si>
  <si>
    <t>LAT Justo Arosemena</t>
  </si>
  <si>
    <t xml:space="preserve">Naturgy </t>
  </si>
  <si>
    <t xml:space="preserve">Memoria cámaras de Halado </t>
  </si>
  <si>
    <t>Finalizada</t>
  </si>
  <si>
    <t xml:space="preserve">Martes </t>
  </si>
  <si>
    <t>LAT chorrera</t>
  </si>
  <si>
    <t>Memoria cámaras de empalme -chorrera</t>
  </si>
  <si>
    <t xml:space="preserve">Miercoles </t>
  </si>
  <si>
    <t xml:space="preserve">LAT Llano Sanchez </t>
  </si>
  <si>
    <t xml:space="preserve">Ajuste de EETT PHD </t>
  </si>
  <si>
    <t>Pausada</t>
  </si>
  <si>
    <t>Falta tabla de distancia entre tramos de PHD</t>
  </si>
  <si>
    <t>Jueves</t>
  </si>
  <si>
    <t>Memoria de canalización</t>
  </si>
  <si>
    <t xml:space="preserve">falta la distancia de viga ducto y de la cantidad de PHD, Atención de informe de georradar de santiago 2 </t>
  </si>
  <si>
    <t>Viernes</t>
  </si>
  <si>
    <t xml:space="preserve">Memoria cámaras de empalme </t>
  </si>
  <si>
    <t>Organización de información ADT6</t>
  </si>
  <si>
    <t xml:space="preserve">Jonatan Viloria </t>
  </si>
  <si>
    <t xml:space="preserve">S.E Loceria Ampliación </t>
  </si>
  <si>
    <t>Compensatorio jurado votación</t>
  </si>
  <si>
    <t>Diseño estructuras seccionador Loceria (pendiente ficha de equipo)</t>
  </si>
  <si>
    <t>Memorias de calculo estructuras soportes</t>
  </si>
  <si>
    <t>Actualización llano sanchez plantillado (Memoria)</t>
  </si>
  <si>
    <t>Actualización llanos snchaes estructuras (Planos y memoria)</t>
  </si>
  <si>
    <t xml:space="preserve">Jose vicente Garcia </t>
  </si>
  <si>
    <t xml:space="preserve">Dibujante OC </t>
  </si>
  <si>
    <t xml:space="preserve">Estructura Soporte Terminal </t>
  </si>
  <si>
    <t>Actualización planos, planta, planta perfil, arboles de carga</t>
  </si>
  <si>
    <t xml:space="preserve">Hernando Hernandez </t>
  </si>
  <si>
    <t>ADT6</t>
  </si>
  <si>
    <t>Afinia</t>
  </si>
  <si>
    <t>Atención a comentarios del ADT6 cimentaciones</t>
  </si>
  <si>
    <t xml:space="preserve">Leo Tekken </t>
  </si>
  <si>
    <t>SE LIBERTADOR - SE EL LAGO</t>
  </si>
  <si>
    <t>AFININIA</t>
  </si>
  <si>
    <t>Comentarios SE Libertador</t>
  </si>
  <si>
    <t>Revision topografia SE El Lago</t>
  </si>
  <si>
    <t>Presentacion topografia SE El Lago</t>
  </si>
  <si>
    <t>Camilo Galvez</t>
  </si>
  <si>
    <t xml:space="preserve">Modelador BIM </t>
  </si>
  <si>
    <t>LAT chorrera, LAT Santiago II</t>
  </si>
  <si>
    <t>Plano Georadar LAT Chorrera</t>
  </si>
  <si>
    <t>Plano Georadar LAT Chorrera, LAT Santiago II</t>
  </si>
  <si>
    <t>Se pauso LAT Chorrera, se continua con LAT Santiago II</t>
  </si>
  <si>
    <t>Plano Georadar LAT Santiago II</t>
  </si>
  <si>
    <t>Se entrego Plano geo radar santiago II</t>
  </si>
  <si>
    <t xml:space="preserve">Alejandro Daza </t>
  </si>
  <si>
    <t>Ajuste de diseño</t>
  </si>
  <si>
    <t xml:space="preserve">Orlando Angulo </t>
  </si>
  <si>
    <t>Realización plano camara de halado</t>
  </si>
  <si>
    <t>Realización plano detalla estructura soporte SE</t>
  </si>
  <si>
    <t>Sebastian Barros</t>
  </si>
  <si>
    <t>Practicante ME</t>
  </si>
  <si>
    <t>Determinación de cantidades</t>
  </si>
  <si>
    <t>verificacion de modelos</t>
  </si>
  <si>
    <t>Angelica Ruiz</t>
  </si>
  <si>
    <t>Analista de diseños ME</t>
  </si>
  <si>
    <t>Ajuste y validación de mallas de puesta a tierra</t>
  </si>
  <si>
    <t>Licencia del programa no funciono</t>
  </si>
  <si>
    <t>Edwin Galindo</t>
  </si>
  <si>
    <t>Ingreso - Revisión de información</t>
  </si>
  <si>
    <t>Revisión de información. Cálculo de halado de cable proyecto - Diseño detallado 2LSAT 115 kV Justo - Arosemena</t>
  </si>
  <si>
    <t>- Capacitación Autodesk Construction. Cálculo de halado de cable proyecto - Diseño detallado 2LSAT 115 kV Justo - Arosemena</t>
  </si>
  <si>
    <t>Germán Cardenas</t>
  </si>
  <si>
    <t>Coordinador Electromecanico</t>
  </si>
  <si>
    <t xml:space="preserve">ADT6, LAT Justo Arosemena, LAT Chorrera </t>
  </si>
  <si>
    <t xml:space="preserve">AFINIA, NATURGY </t>
  </si>
  <si>
    <r>
      <rPr>
        <b/>
        <sz val="11"/>
        <color theme="1"/>
        <rFont val="Calibri"/>
        <family val="2"/>
        <scheme val="minor"/>
      </rPr>
      <t xml:space="preserve">SEGUIIMIENTO LAT ADT6: </t>
    </r>
    <r>
      <rPr>
        <sz val="11"/>
        <color theme="1"/>
        <rFont val="Calibri"/>
        <family val="2"/>
        <scheme val="minor"/>
      </rPr>
      <t xml:space="preserve">
SEGUIIMIENTO </t>
    </r>
    <r>
      <rPr>
        <b/>
        <sz val="11"/>
        <color theme="1"/>
        <rFont val="Calibri"/>
        <family val="2"/>
        <scheme val="minor"/>
      </rPr>
      <t>LAT</t>
    </r>
    <r>
      <rPr>
        <sz val="11"/>
        <color theme="1"/>
        <rFont val="Calibri"/>
        <family val="2"/>
        <scheme val="minor"/>
      </rPr>
      <t xml:space="preserve"> </t>
    </r>
    <r>
      <rPr>
        <b/>
        <sz val="11"/>
        <color theme="1"/>
        <rFont val="Calibri"/>
        <family val="2"/>
        <scheme val="minor"/>
      </rPr>
      <t>NATURGY:</t>
    </r>
    <r>
      <rPr>
        <sz val="11"/>
        <color theme="1"/>
        <rFont val="Calibri"/>
        <family val="2"/>
        <scheme val="minor"/>
      </rPr>
      <t xml:space="preserve">
</t>
    </r>
    <r>
      <rPr>
        <b/>
        <sz val="11"/>
        <color theme="1"/>
        <rFont val="Calibri"/>
        <family val="2"/>
        <scheme val="minor"/>
      </rPr>
      <t/>
    </r>
  </si>
  <si>
    <t xml:space="preserve">Óscar Lozano </t>
  </si>
  <si>
    <t xml:space="preserve">Lider Civil </t>
  </si>
  <si>
    <r>
      <rPr>
        <b/>
        <sz val="11"/>
        <color rgb="FF000000"/>
        <rFont val="Calibri"/>
        <family val="2"/>
        <scheme val="minor"/>
      </rPr>
      <t xml:space="preserve">LAT ADT6: </t>
    </r>
    <r>
      <rPr>
        <sz val="11"/>
        <color rgb="FF000000"/>
        <rFont val="Calibri"/>
        <family val="2"/>
        <scheme val="minor"/>
      </rPr>
      <t xml:space="preserve">Reunión de seguimiento del proyecto, seguimiento comentarios estudio de suelos.
</t>
    </r>
    <r>
      <rPr>
        <b/>
        <sz val="11"/>
        <color rgb="FF000000"/>
        <rFont val="Calibri"/>
        <family val="2"/>
        <scheme val="minor"/>
      </rPr>
      <t>LAT</t>
    </r>
    <r>
      <rPr>
        <sz val="11"/>
        <color rgb="FF000000"/>
        <rFont val="Calibri"/>
        <family val="2"/>
        <scheme val="minor"/>
      </rPr>
      <t xml:space="preserve"> </t>
    </r>
    <r>
      <rPr>
        <b/>
        <sz val="11"/>
        <color rgb="FF000000"/>
        <rFont val="Calibri"/>
        <family val="2"/>
        <scheme val="minor"/>
      </rPr>
      <t>NATURGY:</t>
    </r>
    <r>
      <rPr>
        <sz val="11"/>
        <color rgb="FF000000"/>
        <rFont val="Calibri"/>
        <family val="2"/>
        <scheme val="minor"/>
      </rPr>
      <t xml:space="preserve"> Ajuste EETT OC, seguimiento rediseño Justo Arosemena, atención comentarios Chorrera.
</t>
    </r>
    <r>
      <rPr>
        <b/>
        <sz val="11"/>
        <color rgb="FF000000"/>
        <rFont val="Calibri"/>
        <family val="2"/>
        <scheme val="minor"/>
      </rPr>
      <t>Subestaciones</t>
    </r>
    <r>
      <rPr>
        <sz val="11"/>
        <color rgb="FF000000"/>
        <rFont val="Calibri"/>
        <family val="2"/>
        <scheme val="minor"/>
      </rPr>
      <t>: realización metodóloga de trabajo equipo civil</t>
    </r>
  </si>
  <si>
    <t>Memoria de estructura de soporte</t>
  </si>
  <si>
    <t xml:space="preserve">REVISIÓN DE PLANOS DE CHORRERA </t>
  </si>
  <si>
    <t>LN - SE - Turbaco</t>
  </si>
  <si>
    <t>Atención a comentarios del ADT6  Planos de la Línea</t>
  </si>
  <si>
    <t>Planos Armados Tramo Aéreo</t>
  </si>
  <si>
    <t>Planos Armados Tramo Subterraneo</t>
  </si>
  <si>
    <t>AFINIA</t>
  </si>
  <si>
    <t>Modificaciones plano Hatillo de Loba</t>
  </si>
  <si>
    <t>LAT chorrera, LAT Santiago II, LAT Floresta III</t>
  </si>
  <si>
    <t>Plano geo radar la floresta III</t>
  </si>
  <si>
    <t>LAT Llano sanchez</t>
  </si>
  <si>
    <t>Ajuste diseño modelo trazado general</t>
  </si>
  <si>
    <t>revision de asignacion de tareas</t>
  </si>
  <si>
    <t>realizar verificacion modelos chorrera</t>
  </si>
  <si>
    <t>realizar verificacion modelos llano sanchez</t>
  </si>
  <si>
    <t>ajuste de modelo</t>
  </si>
  <si>
    <t>debido a que el programa presento problemas, no se finalizo esta actividad</t>
  </si>
  <si>
    <t>ajuste de informe</t>
  </si>
  <si>
    <t>verificacion planos</t>
  </si>
  <si>
    <t>verificacion cantidades</t>
  </si>
  <si>
    <t>realizar calculo de halado</t>
  </si>
  <si>
    <t xml:space="preserve">Estudios Previos </t>
  </si>
  <si>
    <t xml:space="preserve">Estado  de la Ingeniería </t>
  </si>
  <si>
    <t xml:space="preserve">Fecha de entrega </t>
  </si>
  <si>
    <t xml:space="preserve"> LAT Justo Arosemena </t>
  </si>
  <si>
    <t>Estudios aprobados a excepción del plano de georradar el cual se encuentra en revisión por parte de Naturgy</t>
  </si>
  <si>
    <t>Ingeniería entregada esta en espera de revisión de Naturgy</t>
  </si>
  <si>
    <t>NA</t>
  </si>
  <si>
    <t xml:space="preserve">LAT Chorrera- El torno </t>
  </si>
  <si>
    <t>Estudios aprobados, el estudio de suelos presenta la novedad de que esta rechazado, no obstante, en la revisión V6 fue aprobado</t>
  </si>
  <si>
    <t>Se están actualizando los modelos OC atendiendo las incidencias presentadas por Naturgy, en revisión interna se identifico diversos errores en el diseño presentado debido a que no se tuvo en cuenta un vigaducto existente, dado que, el estudio de georradar no contemplo la entrada a la subestación</t>
  </si>
  <si>
    <t>Estudios enviados en su totalidad, el informe de estudio de suelos y topografía se encuentran aprobados, los demás están en revisión por parte de Naturgy</t>
  </si>
  <si>
    <t>Se envió el trazado preliminar de la línea para aceptación de Naturgy, hasta la fecha no se han obtenido comentarios, es importante esta aceptación para no presentar reprocesos en el futuro debidos a cambios en el trazado</t>
  </si>
  <si>
    <t xml:space="preserve">Por definir </t>
  </si>
  <si>
    <t>LAT Floresta- Panamá III</t>
  </si>
  <si>
    <t>El estudio de suelos se encuentra aprobado, el informe de georradar y topografía están aprobados con comentarios, los cuales no se han atendido. Los planos se encuentran en revisión por parte de Naturgy</t>
  </si>
  <si>
    <t>Se iniciara con el diseño del tramo que se tiene aceptado, a espera de los nuevos estudios previos para diseñar toda la línea</t>
  </si>
  <si>
    <t xml:space="preserve">LAT Santiago </t>
  </si>
  <si>
    <t>Se tiene aprobado el informe de estudio de suelos y los planos asociados, se encuentra pendiente atender las incidencias de los informes de topografía y georradar</t>
  </si>
  <si>
    <t>En el estudio de traza inicial se contemplo el proyecto subterráneo, sin embargo el cliente solicito que el proyecto se realizara de manera aérea, sin embargo seria prudente socializar con NATURGY, sobre el trazado propuesto, con el fin de evitar posibles reprocesos futuros por parte del cliente</t>
  </si>
  <si>
    <t xml:space="preserve">LAT El Coco II </t>
  </si>
  <si>
    <t>El estudio de suelos se encuentra aprobado, el informe y plano de topografía están en revisión por parte de Naturgy</t>
  </si>
  <si>
    <t xml:space="preserve">Se realizara con base en las prioridades del cliente y el personal disponible. </t>
  </si>
  <si>
    <t>AFINIA ADT6</t>
  </si>
  <si>
    <t>Se entrego la primera versión de la ingeniería a lo que AFINIA realizo comentarios, se esta trabajando en atender dichos comentarios  y ajustar los documentos correspondientes</t>
  </si>
  <si>
    <t>San Juan de Arama-Granada</t>
  </si>
  <si>
    <t>Se han llevado diversas reuniones con GEOTOPCOL, en las cuales se les solicito corregir la topografía entregada, debido a que no contaba con la calidad necesaria para diseñar la línea. Adicionalmente, se solicito información para continuar con el diseño de la línea, la cual no se a recibido.</t>
  </si>
  <si>
    <t>Informe ejecutivo avance de los proyectos</t>
  </si>
  <si>
    <t>RESUMEN EJECUTIVO</t>
  </si>
  <si>
    <t>Se presenta avance en los proyectos; el proyecto con mayor avance es Justo Arosemena con 79,64%._x000D_
_x000D_
Observación general: los documentos que no están al 100% corresponden a entregables pendientes o en revisión; priorizar su cierre.</t>
  </si>
  <si>
    <t>Aprobados estudios previos: 5</t>
  </si>
  <si>
    <t xml:space="preserve"> - Informe estudio de suelos: Aparece en revision porque en V6 se aprobo y despues se volvio a enviar</t>
  </si>
  <si>
    <t xml:space="preserve"> - Informe de levantamiento topográfico: Aprobado con comentarios, no se ven comentarios</t>
  </si>
  <si>
    <t xml:space="preserve"> - Estudio de seguridad y salud: Se devolvio, realizar seguimiento</t>
  </si>
  <si>
    <t xml:space="preserve"> - Condiciones de contratación obras civiles: No veo la revision</t>
  </si>
  <si>
    <t xml:space="preserve"> - Especificaciones técnicas obras civiles: No tiene incidencias abiertas</t>
  </si>
  <si>
    <t xml:space="preserve"> - Especificación técnica pica de puesta a tierra 5/8": Hay incidencias abiertas</t>
  </si>
  <si>
    <t xml:space="preserve"> - Especificación técnica cable desnudo: Hay incidencias abiertas</t>
  </si>
  <si>
    <t xml:space="preserve"> - Especificaciones Técnicas de perforación horizontal dirigida (PHD): No tiene incidencias abiertas</t>
  </si>
  <si>
    <t xml:space="preserve"> - Formulario de precios de obras civiles: Se debe actualizar</t>
  </si>
  <si>
    <t xml:space="preserve"> - Preciario de obra civil: Se debe actualizar</t>
  </si>
  <si>
    <t xml:space="preserve"> - Modelo general obras civiles: se requiere de ajuste del plano de georradar para actualizarlos y enviarlos a revision</t>
  </si>
  <si>
    <t xml:space="preserve"> - Modelo cámara de empalme: Se especifica incluir cantidades de todo lo relacionado a puesta a tierra</t>
  </si>
  <si>
    <t xml:space="preserve"> - Modelo cámara de giro: Se especifica incluir cantidades de todo lo relacionado a puesta a tierra</t>
  </si>
  <si>
    <t xml:space="preserve"> - Modelo cámara de halado: Se especifica incluir cantidades de todo lo relacionado a puesta a tierra</t>
  </si>
  <si>
    <t xml:space="preserve"> - Especificaciones de montaje electromecánico: Se devolvio, piden entrega total de la ingenieria</t>
  </si>
  <si>
    <t xml:space="preserve"> - Condiciones de contratación montaje electromecánico: Se devolvio, piden entrega total de la ingenieria</t>
  </si>
  <si>
    <t xml:space="preserve"> - Modelo de trayectoria general electromecánico: Atender incidencias</t>
  </si>
  <si>
    <t xml:space="preserve"> - Diagrama unifilar general: Se devolvio, piden entrega total de la ingenieria</t>
  </si>
  <si>
    <t xml:space="preserve"> - Plano de diagrama de conexión de pantallas: Se devolvio, piden entrega total de la ingenieria</t>
  </si>
  <si>
    <t xml:space="preserve"> - Plano de trayectoria general electromecánico: Se devolvio, piden entrega total de la ingenieria</t>
  </si>
  <si>
    <t xml:space="preserve"> - Plano detalle suministro cable de potencia: Se devolvio, piden entrega total de la ingenieria</t>
  </si>
  <si>
    <t xml:space="preserve"> - Plano detalle suministro caja de conexión: Se devolvio, piden entrega total de la ingenieria</t>
  </si>
  <si>
    <t xml:space="preserve"> - Plano detalle suministro terminal GIS: Se devolvio, piden entrega total de la ingenieria</t>
  </si>
  <si>
    <t xml:space="preserve"> - Plano detalle suministro empalme: Se devolvio, piden entrega total de la ingenieria</t>
  </si>
  <si>
    <t xml:space="preserve"> - Modelo detalle de puesta a tierra cámaras: Se devolvio, piden entrega total de la ingenieria</t>
  </si>
  <si>
    <t xml:space="preserve"> - Plano de puesta a tierra tramo subterráneo: Se devolvio, piden entrega total de la ingenieria</t>
  </si>
  <si>
    <t xml:space="preserve"> - Modelo detalle montaje cámara de halado: Se devolvio, piden entrega total de la ingenieria</t>
  </si>
  <si>
    <t xml:space="preserve"> - Plano detalle montaje cámara de halado: Se devolvio, piden entrega total de la ingenieria</t>
  </si>
  <si>
    <t xml:space="preserve"> - Modelo detalle montaje cámara de empalme: Se devolvio, piden entrega total de la ingenieria</t>
  </si>
  <si>
    <t xml:space="preserve"> - Plano detalle montaje cámara de empalme: Se devolvio, piden entrega total de la ingenieria</t>
  </si>
  <si>
    <t xml:space="preserve"> - Modelo detalle montaje cámara de giro: Se devolvio, piden entrega total de la ingenieria</t>
  </si>
  <si>
    <t xml:space="preserve"> - Plano detalle montaje cámara de giro: Se devolvio, piden entrega total de la ingenieria</t>
  </si>
  <si>
    <t>Aprobados estudios previos: 4</t>
  </si>
  <si>
    <t xml:space="preserve"> - Plano Georradar: Atender incidencias</t>
  </si>
  <si>
    <t xml:space="preserve"> - Condiciones de contratación obras civiles: Atender incidencias</t>
  </si>
  <si>
    <t xml:space="preserve"> - Especificaciones técnicas obras civiles: Atender incidencias</t>
  </si>
  <si>
    <t xml:space="preserve"> - Especificaciones Técnicas de perforación horizontal dirigida (PHD): Atender incidencias</t>
  </si>
  <si>
    <t xml:space="preserve"> - Especificación técnica sistema de puesta a tierra: Atender incidencias</t>
  </si>
  <si>
    <t xml:space="preserve"> - Modelo trayectoria general: Se recibieron incidencias</t>
  </si>
  <si>
    <t xml:space="preserve"> - Listado de planos: Se recibieron incidencias</t>
  </si>
  <si>
    <t xml:space="preserve"> - Plano de localización: Se recibieron incidencias</t>
  </si>
  <si>
    <t xml:space="preserve"> - Plano trayectoria general: Se recibieron incidencias</t>
  </si>
  <si>
    <t xml:space="preserve"> - Plano planta perfil tramo subterránea 1: Se recibieron incidencias</t>
  </si>
  <si>
    <t xml:space="preserve"> - Plano planta perfil tramo subterránea 2: Se recibieron incidencias</t>
  </si>
  <si>
    <t xml:space="preserve"> - Plano planta perfil tramo subterránea 3: Se recibieron incidencias</t>
  </si>
  <si>
    <t xml:space="preserve"> - Plano de señalización vial: Se recibieron incidencias</t>
  </si>
  <si>
    <t xml:space="preserve"> - Plano de demoliciones: Se recibieron incidencias</t>
  </si>
  <si>
    <t xml:space="preserve"> - Plano secciones de calle: Se recibieron incidencias</t>
  </si>
  <si>
    <t xml:space="preserve"> - Plano tipico de junta, empalme de losa, cordón y acera: Se recibieron incidencias</t>
  </si>
  <si>
    <t xml:space="preserve"> - Modelo de camaras empalme: Se recibieron incidencias</t>
  </si>
  <si>
    <t xml:space="preserve"> - Plano detalle de camara de empalmes: Se recibieron incidencias</t>
  </si>
  <si>
    <t xml:space="preserve"> - Modelo de camaras halado: Cambiar la descripcion del entregable dice camara de empalme</t>
  </si>
  <si>
    <t xml:space="preserve"> - Informe estudio de suelos: hay nueva version, pero se aprobo una anterior</t>
  </si>
  <si>
    <t xml:space="preserve"> - Informe de levantamiento topográfico: hay nueva version, pero se aprobo una anterior</t>
  </si>
  <si>
    <t xml:space="preserve"> - Informe de Georradar: hay nueva version, pero se aprobo una anterior</t>
  </si>
  <si>
    <t xml:space="preserve"> - Plano Levantamiento topográfico: hay nueva version, pero se aprobo una anterior</t>
  </si>
  <si>
    <t>Panamá III- La Floresta</t>
  </si>
  <si>
    <t>Aprobados estudios previos: 3</t>
  </si>
  <si>
    <t xml:space="preserve"> - Informe de levantamiento topográfico: Se deben atender incidencias</t>
  </si>
  <si>
    <t xml:space="preserve"> - Plano Levantamiento topográfico: Se deben atender incidencias</t>
  </si>
  <si>
    <t>Aprobados estudios previos: 1</t>
  </si>
  <si>
    <t xml:space="preserve"> - Informe de levantamiento topográfico: Dio aprobacion el revisor</t>
  </si>
  <si>
    <t xml:space="preserve"> - Plano Levantamiento topográfico: Dio aprobacion el revisor</t>
  </si>
  <si>
    <t>Tabla 1 - Avance general proyectos</t>
  </si>
  <si>
    <t>TOTAL %</t>
  </si>
  <si>
    <t>Tabla 2 - Avance Estudios Previos</t>
  </si>
  <si>
    <t>Informe estudio de suelos</t>
  </si>
  <si>
    <t>Informe de levantamiento topográfico</t>
  </si>
  <si>
    <t>Informe de Georradar</t>
  </si>
  <si>
    <t>Plano Levantamiento topográfico</t>
  </si>
  <si>
    <t>Plano Georradar</t>
  </si>
  <si>
    <t>Tabla 3 - Avance estado de los documentos</t>
  </si>
  <si>
    <t>Total</t>
  </si>
  <si>
    <t>Rechazados</t>
  </si>
  <si>
    <t>% Rechazados</t>
  </si>
  <si>
    <t>Aprobados</t>
  </si>
  <si>
    <t>% Aprobados</t>
  </si>
  <si>
    <t>% En revisión</t>
  </si>
  <si>
    <t>% En proceso</t>
  </si>
  <si>
    <t>Atención comentarios</t>
  </si>
  <si>
    <t>% Atención comentarios</t>
  </si>
  <si>
    <t>Tabla 4 - Avance componente OC</t>
  </si>
  <si>
    <t>Tabla 5 - Avance componente ME</t>
  </si>
  <si>
    <t>Actividad</t>
  </si>
  <si>
    <t>Plano Modelo Trayectoria Gneral</t>
  </si>
  <si>
    <t>Revisión Topografía</t>
  </si>
  <si>
    <t>San Juan de Arama</t>
  </si>
  <si>
    <t>Revisión Georradar</t>
  </si>
  <si>
    <t>Trazado preliminar</t>
  </si>
  <si>
    <t>Apoyo area subestaciones</t>
  </si>
  <si>
    <t>Otro</t>
  </si>
  <si>
    <t>Dicney Bibiana Ruiz</t>
  </si>
  <si>
    <t>Capacitación</t>
  </si>
  <si>
    <t>Germán Plazas</t>
  </si>
  <si>
    <t>Tekken Goncalves</t>
  </si>
  <si>
    <t>Planos_OC</t>
  </si>
  <si>
    <t>Planos_ME</t>
  </si>
  <si>
    <t>Reporte Horas</t>
  </si>
  <si>
    <t>Semana</t>
  </si>
  <si>
    <t>Horas</t>
  </si>
  <si>
    <t xml:space="preserve">Observacion </t>
  </si>
  <si>
    <t xml:space="preserve">Transcriccion Notas y Digitalizacion convenciones en planos </t>
  </si>
  <si>
    <t>Capacitación (IMPLEMENTACIÓN BIM - 1- ETAPA)</t>
  </si>
  <si>
    <t>PLanos Localización del proyecto, y Formatos Generales de planos</t>
  </si>
  <si>
    <t xml:space="preserve">Revision y atención de incidencias </t>
  </si>
  <si>
    <t>Planos de Obras Civil SE Sierra Flor</t>
  </si>
  <si>
    <t>Etiquetado planos planta OC - Ajuste Perfiles - convenciones - Tuberia existente PL20001 a 20005</t>
  </si>
  <si>
    <t>Ajuste de trayectoria tuberia flexible OC</t>
  </si>
  <si>
    <t>Capacitación (IMPLEMENTACIÓN BIM - 1 - ETAPA /5ta y 6ta participación)</t>
  </si>
  <si>
    <t>Planos de armados</t>
  </si>
  <si>
    <t>Capacitación (IMPLEMENTACIÓN BIM - 1 - ETAPA)</t>
  </si>
  <si>
    <t>Planos de materiales</t>
  </si>
  <si>
    <t>Revisión</t>
  </si>
  <si>
    <t>memorias de criterio, memoria de herrajes</t>
  </si>
  <si>
    <t>Planos de Obras Civil SE Turbaco</t>
  </si>
  <si>
    <t>Revision de memorias</t>
  </si>
  <si>
    <t>adelanto de memorias, se han presentado retrasos debido a que no se encuentran instalados correctamente los programas que se necesitan para adelantar con estas.</t>
  </si>
  <si>
    <t xml:space="preserve">Revisión de información de entrada / Ajuste de documentación inicial. </t>
  </si>
  <si>
    <t xml:space="preserve">Ajuste de documentación conforme a cambios del proyecto. </t>
  </si>
  <si>
    <t xml:space="preserve">Revisión de documentación - Ingeniería de detalle </t>
  </si>
  <si>
    <t xml:space="preserve">Ajuste de fichas técnicas </t>
  </si>
  <si>
    <t xml:space="preserve">Revisión de información de instalación ATP </t>
  </si>
  <si>
    <t xml:space="preserve">Capacitaciones de BIM </t>
  </si>
  <si>
    <t>Revision y ajustes de fichas tecnicas y especificaciones, adelanto de informe de especificacion tecnica de montaje electromecanico</t>
  </si>
  <si>
    <t>Estandarizacion Entregables Topograficos para estudios previos</t>
  </si>
  <si>
    <t>Plano Topografico panama la floresta III (Incidencias)</t>
  </si>
  <si>
    <t>Revision de informacion de proyecto para realizar modeamiento de las resisitividades en el cyme, no se completo el programa no tenia licencia activa se le pidio ayuda al area de sistemas</t>
  </si>
  <si>
    <t xml:space="preserve">Ajuste de planos de armado </t>
  </si>
  <si>
    <t>Instalación de software ATP</t>
  </si>
  <si>
    <t xml:space="preserve">Elaboración de memorias </t>
  </si>
  <si>
    <t>revisión plano Planta perfil tramo subterraneo</t>
  </si>
  <si>
    <t>Reuniones</t>
  </si>
  <si>
    <t>correción plano modificacion de estrucruras (TEBSA)</t>
  </si>
  <si>
    <t>Nombre</t>
  </si>
  <si>
    <t>Marca</t>
  </si>
  <si>
    <t>Serial</t>
  </si>
  <si>
    <t>Requerimiento</t>
  </si>
  <si>
    <t xml:space="preserve">Germán Santiago Plazas </t>
  </si>
  <si>
    <t>Dell</t>
  </si>
  <si>
    <t>P514</t>
  </si>
  <si>
    <t>portatil</t>
  </si>
  <si>
    <t>El computador no cuanta con el procesador, ni RAM necesaria para realizar el trabajo de manera eficiente.</t>
  </si>
  <si>
    <t xml:space="preserve">José Vicente Garcia Llinas </t>
  </si>
  <si>
    <t xml:space="preserve">Dell </t>
  </si>
  <si>
    <t>ML-168916</t>
  </si>
  <si>
    <t>Portatil</t>
  </si>
  <si>
    <t>-</t>
  </si>
  <si>
    <t>Hernando Hernandez Mendoza</t>
  </si>
  <si>
    <t>ML-196934</t>
  </si>
  <si>
    <t>Torre</t>
  </si>
  <si>
    <t>Orlando Angulo Bustillo</t>
  </si>
  <si>
    <t>ML-162131</t>
  </si>
  <si>
    <t>Jonatan Viloria Rojas</t>
  </si>
  <si>
    <t>Escritorio</t>
  </si>
  <si>
    <t>Cambiar a portátil, por trabajo remoto</t>
  </si>
  <si>
    <t>Jose Fabian Pacheco Perez</t>
  </si>
  <si>
    <t>Cambiar a portátil que tenga las condiciones optimas para correr los programas utilizados para los diseños civiles, por trabajo remoto</t>
  </si>
  <si>
    <t xml:space="preserve">Óscar Lozano Almanza </t>
  </si>
  <si>
    <t xml:space="preserve">Portatil </t>
  </si>
  <si>
    <t xml:space="preserve">Teclado malo, requiere de teclado auxiliar </t>
  </si>
  <si>
    <t>P986</t>
  </si>
  <si>
    <t>Equipo provisional ya que fue enviado a Barranquilla el equipo asignado (P471) debido a que presenta fallas notificadas a personal de sistemas.</t>
  </si>
  <si>
    <t>Lenovo</t>
  </si>
  <si>
    <t>PF27PHHC</t>
  </si>
  <si>
    <t>Camilo Andres Galvez</t>
  </si>
  <si>
    <t>PF61KAKH</t>
  </si>
  <si>
    <t>N/A</t>
  </si>
  <si>
    <t>Dicney B. Ruiz Hernandez</t>
  </si>
  <si>
    <t>Actualmente van 3 semanas y media de trabajo remoto con uso de equipo personal porque equipo asignado en oficina no tiene la capacidad de ejecutar correctamente el proyecto en Revit, Lo cual relentiza el tiempo de trabajo. Cambiar a portátil que tenga las condiciones optimas para correr los programas utilizados para los diseños OC -ME, por trabajo hibrido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</si>
</sst>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b/>
      <sz val="11"/>
      <color theme="1"/>
      <name val="Calibri"/>
      <family val="2"/>
      <scheme val="minor"/>
    </font>
    <font>
      <sz val="8"/>
      <name val="Calibri"/>
      <family val="2"/>
      <scheme val="minor"/>
    </font>
    <font>
      <b/>
      <sz val="11"/>
      <color rgb="FF000000"/>
      <name val="Calibri"/>
      <family val="2"/>
    </font>
    <font>
      <sz val="11"/>
      <name val="Calibri"/>
      <family val="2"/>
    </font>
    <font>
      <sz val="11"/>
      <color rgb="FF000000"/>
      <name val="Calibri"/>
      <family val="2"/>
    </font>
    <font>
      <sz val="11"/>
      <color theme="0"/>
      <name val="Calibri"/>
      <family val="2"/>
      <scheme val="minor"/>
    </font>
    <font>
      <sz val="11"/>
      <color rgb="FF242424"/>
      <name val="Aptos Narrow"/>
      <family val="2"/>
    </font>
    <font>
      <b/>
      <sz val="11"/>
      <color rgb="FF000000"/>
      <name val="Calibri"/>
      <family val="2"/>
      <scheme val="minor"/>
    </font>
    <font>
      <sz val="11"/>
      <color rgb="FF000000"/>
      <name val="Calibri"/>
      <family val="2"/>
      <scheme val="minor"/>
    </font>
    <font>
      <sz val="10"/>
      <color theme="1"/>
      <name val="Calibri"/>
      <family val="2"/>
      <scheme val="minor"/>
    </font>
    <font>
      <b/>
      <sz val="18"/>
      <color theme="3"/>
      <name val="Calibri Light"/>
      <family val="2"/>
      <scheme val="major"/>
    </font>
    <font>
      <b/>
      <sz val="11"/>
      <color theme="3" tint="0.499984740745262"/>
      <name val="Calibri"/>
      <family val="2"/>
      <scheme val="minor"/>
    </font>
    <font>
      <sz val="11"/>
      <color rgb="FF000000"/>
      <name val="Aptos Narrow"/>
      <family val="2"/>
    </font>
    <font>
      <sz val="11"/>
      <color rgb="FFFF0000"/>
      <name val="Calibri"/>
      <family val="2"/>
      <scheme val="minor"/>
    </font>
    <font>
      <sz val="11"/>
      <color theme="1"/>
      <name val="Calibri"/>
      <family val="2"/>
      <scheme val="minor"/>
    </font>
    <font>
      <b/>
      <sz val="18"/>
      <color theme="1"/>
      <name val="Calibri"/>
      <family val="2"/>
      <scheme val="minor"/>
    </font>
    <font>
      <sz val="11"/>
      <name val="Calibri"/>
      <family val="2"/>
      <scheme val="minor"/>
    </font>
    <font>
      <b/>
      <sz val="12"/>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2" tint="-4.9989318521683403E-2"/>
        <bgColor indexed="64"/>
      </patternFill>
    </fill>
    <fill>
      <patternFill patternType="solid">
        <fgColor theme="1"/>
        <bgColor indexed="64"/>
      </patternFill>
    </fill>
    <fill>
      <patternFill patternType="solid">
        <fgColor rgb="FFC8C8C8"/>
        <bgColor indexed="64"/>
      </patternFill>
    </fill>
    <fill>
      <patternFill patternType="solid">
        <fgColor rgb="FFDCE6F1"/>
        <bgColor indexed="64"/>
      </patternFill>
    </fill>
    <fill>
      <patternFill patternType="solid">
        <fgColor rgb="FFFFFF00"/>
        <bgColor indexed="64"/>
      </patternFill>
    </fill>
  </fills>
  <borders count="10">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theme="2" tint="-0.499984740745262"/>
      </left>
      <right style="double">
        <color theme="2" tint="-0.499984740745262"/>
      </right>
      <top style="double">
        <color theme="2" tint="-0.499984740745262"/>
      </top>
      <bottom style="double">
        <color theme="2" tint="-0.499984740745262"/>
      </bottom>
      <diagonal/>
    </border>
    <border>
      <left/>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11" fillId="0" borderId="0" applyNumberFormat="0" applyFill="0" applyBorder="0" applyAlignment="0" applyProtection="0"/>
    <xf numFmtId="0" fontId="10" fillId="0" borderId="0">
      <alignment horizontal="left" vertical="center"/>
    </xf>
    <xf numFmtId="0" fontId="12" fillId="3" borderId="3" applyNumberFormat="0" applyAlignment="0" applyProtection="0"/>
    <xf numFmtId="9" fontId="15" fillId="0" borderId="0" applyFont="0" applyFill="0" applyBorder="0" applyAlignment="0" applyProtection="0"/>
  </cellStyleXfs>
  <cellXfs count="119">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vertical="center"/>
      <protection locked="0"/>
    </xf>
    <xf numFmtId="0" fontId="0" fillId="0" borderId="1" xfId="0" applyBorder="1" applyAlignment="1" applyProtection="1">
      <alignment horizontal="left" vertical="center"/>
      <protection locked="0"/>
    </xf>
    <xf numFmtId="0" fontId="0" fillId="0" borderId="0" xfId="0" applyAlignment="1" applyProtection="1">
      <alignment wrapText="1"/>
      <protection locked="0"/>
    </xf>
    <xf numFmtId="0" fontId="0" fillId="0" borderId="0" xfId="0" applyAlignment="1">
      <alignment vertical="center"/>
    </xf>
    <xf numFmtId="14" fontId="0" fillId="0" borderId="5" xfId="0" applyNumberFormat="1" applyBorder="1" applyAlignment="1">
      <alignment horizontal="center" vertical="center"/>
    </xf>
    <xf numFmtId="0" fontId="0" fillId="0" borderId="8" xfId="0" applyBorder="1"/>
    <xf numFmtId="0" fontId="0" fillId="0" borderId="8" xfId="0" applyBorder="1" applyAlignment="1">
      <alignment horizontal="center"/>
    </xf>
    <xf numFmtId="14" fontId="0" fillId="0" borderId="8" xfId="0" applyNumberFormat="1" applyBorder="1" applyAlignment="1">
      <alignment horizontal="center" vertical="center"/>
    </xf>
    <xf numFmtId="14" fontId="0" fillId="0" borderId="8" xfId="0" applyNumberFormat="1" applyBorder="1" applyAlignment="1">
      <alignment horizontal="center"/>
    </xf>
    <xf numFmtId="0" fontId="0" fillId="0" borderId="5" xfId="0" applyBorder="1" applyAlignment="1">
      <alignment vertical="center" wrapText="1"/>
    </xf>
    <xf numFmtId="14" fontId="0" fillId="0" borderId="9" xfId="0" applyNumberFormat="1" applyBorder="1" applyAlignment="1">
      <alignment vertical="center"/>
    </xf>
    <xf numFmtId="0" fontId="1" fillId="0" borderId="5" xfId="0" applyFont="1" applyBorder="1" applyAlignment="1">
      <alignment horizontal="center"/>
    </xf>
    <xf numFmtId="14" fontId="0" fillId="0" borderId="2" xfId="0" applyNumberFormat="1" applyBorder="1" applyAlignment="1">
      <alignment horizontal="center"/>
    </xf>
    <xf numFmtId="14" fontId="0" fillId="0" borderId="2" xfId="0" applyNumberFormat="1" applyBorder="1"/>
    <xf numFmtId="0" fontId="1" fillId="0" borderId="5" xfId="0" applyFont="1" applyBorder="1" applyAlignment="1">
      <alignment horizontal="center" vertical="center"/>
    </xf>
    <xf numFmtId="0" fontId="0" fillId="0" borderId="8" xfId="0" applyBorder="1" applyAlignment="1">
      <alignment vertical="center" wrapText="1"/>
    </xf>
    <xf numFmtId="0" fontId="0" fillId="0" borderId="8" xfId="0" applyBorder="1" applyAlignment="1">
      <alignment horizontal="center" vertical="center"/>
    </xf>
    <xf numFmtId="0" fontId="0" fillId="0" borderId="2" xfId="0" applyBorder="1"/>
    <xf numFmtId="14" fontId="0" fillId="0" borderId="5" xfId="0" applyNumberFormat="1" applyBorder="1" applyAlignment="1">
      <alignment horizontal="center"/>
    </xf>
    <xf numFmtId="0" fontId="0" fillId="0" borderId="8" xfId="0" applyBorder="1" applyAlignment="1" applyProtection="1">
      <alignment horizontal="center" vertical="center"/>
      <protection locked="0"/>
    </xf>
    <xf numFmtId="0" fontId="0" fillId="0" borderId="8" xfId="0" applyBorder="1" applyAlignment="1" applyProtection="1">
      <alignment vertical="center"/>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8" xfId="0" applyBorder="1" applyAlignment="1" applyProtection="1">
      <alignment horizontal="left" vertical="center"/>
      <protection locked="0"/>
    </xf>
    <xf numFmtId="0" fontId="0" fillId="0" borderId="8" xfId="0" applyBorder="1" applyAlignment="1" applyProtection="1">
      <alignment wrapText="1"/>
      <protection locked="0"/>
    </xf>
    <xf numFmtId="0" fontId="1" fillId="0" borderId="8" xfId="0" applyFont="1" applyBorder="1" applyAlignment="1">
      <alignment horizontal="center"/>
    </xf>
    <xf numFmtId="0" fontId="1" fillId="0" borderId="8" xfId="0" applyFont="1" applyBorder="1" applyAlignment="1">
      <alignment horizontal="center" vertical="center"/>
    </xf>
    <xf numFmtId="0" fontId="7" fillId="0" borderId="8" xfId="0" applyFont="1" applyBorder="1" applyAlignment="1">
      <alignment horizontal="center"/>
    </xf>
    <xf numFmtId="0" fontId="0" fillId="0" borderId="8" xfId="0" applyBorder="1" applyAlignment="1">
      <alignment horizontal="left"/>
    </xf>
    <xf numFmtId="14" fontId="0" fillId="0" borderId="8" xfId="0" applyNumberFormat="1" applyBorder="1"/>
    <xf numFmtId="0" fontId="5" fillId="0" borderId="8" xfId="0" applyFont="1" applyBorder="1"/>
    <xf numFmtId="0" fontId="0" fillId="0" borderId="8" xfId="0" applyBorder="1" applyAlignment="1">
      <alignment horizontal="left" vertical="center" wrapText="1"/>
    </xf>
    <xf numFmtId="14" fontId="0" fillId="0" borderId="8" xfId="0" applyNumberFormat="1" applyBorder="1" applyAlignment="1">
      <alignment vertical="center" wrapText="1"/>
    </xf>
    <xf numFmtId="14" fontId="0" fillId="0" borderId="8" xfId="0" applyNumberFormat="1" applyBorder="1" applyAlignment="1">
      <alignment vertical="center"/>
    </xf>
    <xf numFmtId="0" fontId="0" fillId="0" borderId="8" xfId="0" applyBorder="1" applyAlignment="1">
      <alignment vertical="center"/>
    </xf>
    <xf numFmtId="0" fontId="9" fillId="0" borderId="8" xfId="0" applyFont="1" applyBorder="1" applyAlignment="1">
      <alignment vertical="center" wrapText="1"/>
    </xf>
    <xf numFmtId="14" fontId="14" fillId="0" borderId="8" xfId="0" applyNumberFormat="1" applyFont="1" applyBorder="1" applyAlignment="1">
      <alignment horizontal="center"/>
    </xf>
    <xf numFmtId="0" fontId="14" fillId="0" borderId="8" xfId="0" applyFont="1" applyBorder="1" applyAlignment="1">
      <alignment horizontal="center"/>
    </xf>
    <xf numFmtId="0" fontId="0" fillId="0" borderId="9" xfId="0" applyBorder="1" applyAlignment="1">
      <alignment vertical="center"/>
    </xf>
    <xf numFmtId="0" fontId="0" fillId="0" borderId="9" xfId="0" applyBorder="1" applyAlignment="1">
      <alignment vertical="center" wrapText="1"/>
    </xf>
    <xf numFmtId="9" fontId="0" fillId="0" borderId="8" xfId="4" applyFont="1" applyBorder="1" applyAlignment="1" applyProtection="1">
      <alignment horizontal="center" vertical="center"/>
      <protection locked="0"/>
    </xf>
    <xf numFmtId="9" fontId="0" fillId="0" borderId="8" xfId="4" applyFont="1" applyBorder="1" applyAlignment="1" applyProtection="1">
      <alignment horizontal="center"/>
      <protection locked="0"/>
    </xf>
    <xf numFmtId="9" fontId="0" fillId="0" borderId="0" xfId="4" applyFont="1" applyAlignment="1">
      <alignment horizontal="center"/>
    </xf>
    <xf numFmtId="0" fontId="17" fillId="0" borderId="8" xfId="0" applyFont="1" applyBorder="1" applyProtection="1">
      <protection locked="0"/>
    </xf>
    <xf numFmtId="0" fontId="1" fillId="5" borderId="0" xfId="0" applyFont="1" applyFill="1" applyAlignment="1">
      <alignment horizontal="center" vertical="center" wrapText="1"/>
    </xf>
    <xf numFmtId="0" fontId="0" fillId="0" borderId="8" xfId="0" applyBorder="1" applyAlignment="1" applyProtection="1">
      <alignment horizontal="center" wrapText="1"/>
      <protection locked="0"/>
    </xf>
    <xf numFmtId="0" fontId="0" fillId="7" borderId="8" xfId="0" applyFill="1" applyBorder="1" applyAlignment="1" applyProtection="1">
      <alignment horizontal="center"/>
      <protection locked="0"/>
    </xf>
    <xf numFmtId="0" fontId="0" fillId="2" borderId="8" xfId="0" applyFill="1" applyBorder="1" applyAlignment="1">
      <alignment horizontal="center" vertical="center"/>
    </xf>
    <xf numFmtId="0" fontId="3" fillId="2" borderId="8" xfId="0" applyFont="1" applyFill="1" applyBorder="1" applyAlignment="1">
      <alignment horizontal="center" vertical="center"/>
    </xf>
    <xf numFmtId="0" fontId="4" fillId="2" borderId="8" xfId="0" applyFont="1" applyFill="1" applyBorder="1" applyAlignment="1">
      <alignment horizontal="left" vertical="center" indent="1"/>
    </xf>
    <xf numFmtId="0" fontId="5" fillId="2" borderId="8" xfId="0" applyFont="1" applyFill="1" applyBorder="1" applyAlignment="1">
      <alignment horizontal="left" vertical="center" wrapText="1" indent="1"/>
    </xf>
    <xf numFmtId="0" fontId="4" fillId="2" borderId="8" xfId="0" applyFont="1" applyFill="1" applyBorder="1" applyAlignment="1">
      <alignment horizontal="left" vertical="center" wrapText="1" indent="1"/>
    </xf>
    <xf numFmtId="14" fontId="0" fillId="2" borderId="8" xfId="0" applyNumberFormat="1" applyFill="1" applyBorder="1" applyAlignment="1">
      <alignment horizontal="center" vertical="center" wrapText="1"/>
    </xf>
    <xf numFmtId="14" fontId="0" fillId="2" borderId="8" xfId="0" applyNumberFormat="1" applyFill="1" applyBorder="1" applyAlignment="1">
      <alignment horizontal="center" vertical="center"/>
    </xf>
    <xf numFmtId="0" fontId="5" fillId="2" borderId="8" xfId="0" applyFont="1" applyFill="1" applyBorder="1" applyAlignment="1">
      <alignment horizontal="left" vertical="center" indent="1"/>
    </xf>
    <xf numFmtId="9" fontId="0" fillId="0" borderId="8" xfId="4" applyFont="1" applyBorder="1" applyAlignment="1">
      <alignment horizontal="center"/>
    </xf>
    <xf numFmtId="0" fontId="0" fillId="0" borderId="8" xfId="0" applyBorder="1" applyAlignment="1">
      <alignment horizontal="center" vertical="center" wrapText="1"/>
    </xf>
    <xf numFmtId="0" fontId="0" fillId="0" borderId="0" xfId="0" applyAlignment="1">
      <alignment vertical="center" wrapText="1"/>
    </xf>
    <xf numFmtId="9" fontId="0" fillId="0" borderId="8" xfId="0" applyNumberFormat="1" applyBorder="1"/>
    <xf numFmtId="0" fontId="0" fillId="2" borderId="8" xfId="0" applyFill="1" applyBorder="1" applyAlignment="1">
      <alignment vertical="center"/>
    </xf>
    <xf numFmtId="0" fontId="0" fillId="0" borderId="7" xfId="0" applyBorder="1" applyAlignment="1">
      <alignment vertical="center"/>
    </xf>
    <xf numFmtId="0" fontId="0" fillId="0" borderId="7" xfId="0" applyBorder="1" applyAlignment="1">
      <alignment horizontal="center"/>
    </xf>
    <xf numFmtId="0" fontId="0" fillId="0" borderId="8" xfId="0" applyBorder="1" applyAlignment="1">
      <alignment horizontal="center" wrapText="1"/>
    </xf>
    <xf numFmtId="0" fontId="0" fillId="0" borderId="8" xfId="0" applyBorder="1" applyAlignment="1">
      <alignment horizontal="left" vertical="center"/>
    </xf>
    <xf numFmtId="0" fontId="7" fillId="0" borderId="8" xfId="0" applyFont="1" applyBorder="1" applyAlignment="1">
      <alignment wrapText="1"/>
    </xf>
    <xf numFmtId="10" fontId="0" fillId="0" borderId="0" xfId="0" applyNumberFormat="1" applyAlignment="1">
      <alignment vertical="center"/>
    </xf>
    <xf numFmtId="1" fontId="0" fillId="0" borderId="0" xfId="0" applyNumberFormat="1" applyAlignment="1">
      <alignment vertical="center"/>
    </xf>
    <xf numFmtId="0" fontId="0" fillId="0" borderId="9" xfId="0" applyBorder="1" applyAlignment="1">
      <alignment horizontal="center"/>
    </xf>
    <xf numFmtId="0" fontId="0" fillId="0" borderId="9" xfId="0" applyBorder="1"/>
    <xf numFmtId="0" fontId="0" fillId="0" borderId="5" xfId="0" applyBorder="1" applyAlignment="1">
      <alignment horizontal="center"/>
    </xf>
    <xf numFmtId="0" fontId="6" fillId="4" borderId="1" xfId="0" applyFont="1" applyFill="1" applyBorder="1" applyAlignment="1" applyProtection="1">
      <alignment horizontal="center" vertical="center"/>
      <protection locked="0"/>
    </xf>
    <xf numFmtId="0" fontId="6" fillId="4" borderId="4" xfId="0" applyFont="1" applyFill="1" applyBorder="1" applyAlignment="1" applyProtection="1">
      <alignment horizontal="center" vertical="center"/>
      <protection locked="0"/>
    </xf>
    <xf numFmtId="0" fontId="6" fillId="4" borderId="2" xfId="0" applyFont="1" applyFill="1" applyBorder="1" applyAlignment="1" applyProtection="1">
      <alignment horizontal="center" vertical="center"/>
      <protection locked="0"/>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9" fillId="0" borderId="8" xfId="0" applyFont="1" applyBorder="1" applyAlignment="1">
      <alignment horizontal="center" vertical="center" wrapText="1"/>
    </xf>
    <xf numFmtId="0" fontId="0" fillId="0" borderId="8" xfId="0" applyBorder="1" applyAlignment="1">
      <alignment horizontal="center" vertical="center" wrapText="1"/>
    </xf>
    <xf numFmtId="0" fontId="1" fillId="0" borderId="8" xfId="0" applyFont="1" applyBorder="1" applyAlignment="1">
      <alignment horizontal="center"/>
    </xf>
    <xf numFmtId="0" fontId="0" fillId="0" borderId="8" xfId="0" applyBorder="1" applyAlignment="1">
      <alignment horizontal="center" vertical="center"/>
    </xf>
    <xf numFmtId="0" fontId="0" fillId="2" borderId="8" xfId="0" applyFill="1" applyBorder="1" applyAlignment="1">
      <alignment horizontal="center" vertical="center"/>
    </xf>
    <xf numFmtId="14" fontId="0" fillId="0" borderId="8" xfId="0" applyNumberFormat="1" applyBorder="1" applyAlignment="1">
      <alignment horizontal="center" vertical="center" wrapText="1"/>
    </xf>
    <xf numFmtId="0" fontId="0" fillId="0" borderId="8" xfId="0" applyBorder="1" applyAlignment="1">
      <alignment horizontal="left" vertical="center" wrapText="1"/>
    </xf>
    <xf numFmtId="14" fontId="0" fillId="0" borderId="8" xfId="0" applyNumberFormat="1" applyBorder="1" applyAlignment="1">
      <alignment horizontal="center" vertical="center"/>
    </xf>
    <xf numFmtId="14" fontId="0" fillId="0" borderId="8" xfId="0" applyNumberFormat="1" applyBorder="1" applyAlignment="1">
      <alignment horizontal="left" vertical="center"/>
    </xf>
    <xf numFmtId="0" fontId="0" fillId="0" borderId="7" xfId="0" applyBorder="1" applyAlignment="1">
      <alignment horizontal="center" vertical="center" wrapText="1"/>
    </xf>
    <xf numFmtId="0" fontId="0" fillId="0" borderId="1" xfId="0"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vertical="center"/>
    </xf>
    <xf numFmtId="0" fontId="0" fillId="0" borderId="1"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14" fontId="0" fillId="0" borderId="5" xfId="0" applyNumberFormat="1" applyBorder="1" applyAlignment="1">
      <alignment horizontal="center" vertical="center"/>
    </xf>
    <xf numFmtId="14" fontId="0" fillId="0" borderId="6" xfId="0" applyNumberFormat="1" applyBorder="1" applyAlignment="1">
      <alignment horizontal="center" vertical="center"/>
    </xf>
    <xf numFmtId="0" fontId="13" fillId="0" borderId="5" xfId="0" applyFont="1" applyBorder="1" applyAlignment="1">
      <alignment horizontal="center" vertical="center"/>
    </xf>
    <xf numFmtId="0" fontId="13" fillId="0" borderId="6" xfId="0" applyFont="1" applyBorder="1" applyAlignment="1">
      <alignment horizontal="center" vertical="center"/>
    </xf>
    <xf numFmtId="0" fontId="0" fillId="0" borderId="9" xfId="0" applyBorder="1" applyAlignment="1">
      <alignment horizontal="left" vertical="center" wrapText="1"/>
    </xf>
    <xf numFmtId="14" fontId="0" fillId="0" borderId="7" xfId="0" applyNumberFormat="1" applyBorder="1" applyAlignment="1">
      <alignment horizontal="center" vertical="center"/>
    </xf>
    <xf numFmtId="0" fontId="0" fillId="0" borderId="0" xfId="0" applyAlignment="1">
      <alignment vertical="center"/>
    </xf>
    <xf numFmtId="0" fontId="1" fillId="5" borderId="0" xfId="0" applyFont="1" applyFill="1" applyAlignment="1">
      <alignment horizontal="center" vertical="center" wrapText="1"/>
    </xf>
    <xf numFmtId="0" fontId="1" fillId="6" borderId="0" xfId="0" applyFont="1" applyFill="1" applyAlignment="1">
      <alignment horizontal="center" vertical="center"/>
    </xf>
    <xf numFmtId="10" fontId="0" fillId="0" borderId="0" xfId="0" applyNumberFormat="1" applyAlignment="1">
      <alignment vertical="center"/>
    </xf>
    <xf numFmtId="0" fontId="10" fillId="0" borderId="0" xfId="0" applyFont="1" applyAlignment="1">
      <alignment horizontal="left" vertical="center" wrapText="1"/>
    </xf>
    <xf numFmtId="0" fontId="18" fillId="6" borderId="0" xfId="0" applyFont="1" applyFill="1" applyAlignment="1">
      <alignment horizontal="center" vertical="center" wrapText="1"/>
    </xf>
    <xf numFmtId="0" fontId="0" fillId="0" borderId="0" xfId="0" applyAlignment="1">
      <alignment horizontal="left" vertical="center" wrapText="1"/>
    </xf>
    <xf numFmtId="0" fontId="16" fillId="0" borderId="0" xfId="0" applyFont="1" applyAlignment="1">
      <alignment horizontal="center" vertical="center"/>
    </xf>
    <xf numFmtId="0" fontId="0" fillId="0" borderId="0" xfId="0" applyAlignment="1">
      <alignment horizontal="center" vertical="center"/>
    </xf>
    <xf numFmtId="0" fontId="19" fillId="6" borderId="0" xfId="0" applyFont="1" applyFill="1" applyAlignment="1">
      <alignment horizontal="center" vertical="center"/>
    </xf>
    <xf numFmtId="0" fontId="1" fillId="0" borderId="1" xfId="0" applyFont="1" applyBorder="1" applyAlignment="1">
      <alignment horizontal="center"/>
    </xf>
    <xf numFmtId="0" fontId="1" fillId="0" borderId="4" xfId="0" applyFont="1" applyBorder="1" applyAlignment="1">
      <alignment horizontal="center"/>
    </xf>
    <xf numFmtId="0" fontId="1" fillId="0" borderId="2" xfId="0" applyFont="1" applyBorder="1" applyAlignment="1">
      <alignment horizontal="center"/>
    </xf>
  </cellXfs>
  <cellStyles count="5">
    <cellStyle name="Celda de comprobación 2" xfId="3" xr:uid="{A878AA6B-5B24-4892-99B3-C8A3255B4C19}"/>
    <cellStyle name="Normal" xfId="0" builtinId="0"/>
    <cellStyle name="Normal 2" xfId="2" xr:uid="{7436DD5E-DDD2-4BEE-94E2-7AB8465B7E71}"/>
    <cellStyle name="Porcentaje" xfId="4" builtinId="5"/>
    <cellStyle name="Título 4" xfId="1" xr:uid="{3263AD93-A527-442E-9AB8-FA31F6C7AC9E}"/>
  </cellStyles>
  <dxfs count="24">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style="thin">
          <color theme="0"/>
        </vertical>
        <horizontal style="thin">
          <color theme="0"/>
        </horizontal>
      </border>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val="0"/>
        <i val="0"/>
        <color theme="0"/>
      </font>
      <fill>
        <patternFill patternType="solid">
          <fgColor theme="1"/>
          <bgColor theme="1" tint="0.24994659260841701"/>
        </patternFill>
      </fill>
      <border diagonalUp="0" diagonalDown="0">
        <left style="thin">
          <color theme="0"/>
        </left>
        <right style="thin">
          <color theme="0"/>
        </right>
        <top style="thin">
          <color theme="0"/>
        </top>
        <bottom style="thin">
          <color theme="0"/>
        </bottom>
        <vertical style="thin">
          <color theme="0"/>
        </vertical>
        <horizontal style="thin">
          <color theme="0"/>
        </horizontal>
      </border>
    </dxf>
    <dxf>
      <font>
        <color theme="1"/>
      </font>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fill>
        <patternFill patternType="solid">
          <fgColor theme="0" tint="-0.14999847407452621"/>
          <bgColor theme="0" tint="-0.14999847407452621"/>
        </patternFill>
      </fill>
      <border>
        <left style="thin">
          <color theme="0"/>
        </left>
        <right style="thin">
          <color theme="0"/>
        </right>
        <top style="thin">
          <color theme="0"/>
        </top>
        <bottom style="thin">
          <color theme="0"/>
        </bottom>
        <vertical style="thin">
          <color theme="0"/>
        </vertical>
        <horizontal style="thin">
          <color theme="0"/>
        </horizontal>
      </border>
    </dxf>
    <dxf>
      <font>
        <b/>
        <i/>
        <color theme="1" tint="0.24994659260841701"/>
      </font>
      <fill>
        <patternFill patternType="solid">
          <fgColor theme="0" tint="-0.14999847407452621"/>
          <bgColor theme="0" tint="-0.14999847407452621"/>
        </patternFill>
      </fill>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fill>
        <patternFill patternType="solid">
          <fgColor theme="0"/>
          <bgColor theme="0"/>
        </patternFill>
      </fill>
      <border>
        <top style="thin">
          <color theme="1" tint="0.499984740745262"/>
        </top>
        <bottom style="thin">
          <color theme="1" tint="0.499984740745262"/>
        </bottom>
      </border>
    </dxf>
    <dxf>
      <font>
        <b val="0"/>
        <i val="0"/>
        <color theme="0"/>
      </font>
      <fill>
        <patternFill>
          <bgColor theme="1" tint="0.24994659260841701"/>
        </patternFill>
      </fill>
      <border>
        <left style="thin">
          <color theme="0"/>
        </left>
        <right style="thin">
          <color theme="0"/>
        </right>
        <top style="thin">
          <color theme="0"/>
        </top>
        <bottom style="thin">
          <color theme="0"/>
        </bottom>
        <vertical style="thin">
          <color theme="0"/>
        </vertical>
        <horizontal style="thin">
          <color theme="0"/>
        </horizontal>
      </border>
    </dxf>
    <dxf>
      <font>
        <b val="0"/>
        <i val="0"/>
        <color theme="1" tint="0.24994659260841701"/>
      </font>
      <fill>
        <patternFill>
          <bgColor theme="0" tint="-4.9989318521683403E-2"/>
        </patternFill>
      </fill>
      <border diagonalUp="0" diagonalDown="0">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Assignment Detail" table="0" count="11" xr9:uid="{E37E6939-855A-4922-BA4F-3F0B8980A44C}">
      <tableStyleElement type="wholeTable" dxfId="23"/>
      <tableStyleElement type="headerRow" dxfId="22"/>
      <tableStyleElement type="totalRow" dxfId="21"/>
      <tableStyleElement type="firstRowStripe" dxfId="20"/>
      <tableStyleElement type="firstColumnStripe" dxfId="19"/>
      <tableStyleElement type="firstSubtotalRow" dxfId="18"/>
      <tableStyleElement type="secondSubtotalRow" dxfId="17"/>
      <tableStyleElement type="firstRowSubheading" dxfId="16"/>
      <tableStyleElement type="secondRowSubheading" dxfId="15"/>
      <tableStyleElement type="pageFieldLabels" dxfId="14"/>
      <tableStyleElement type="pageFieldValues" dxfId="13"/>
    </tableStyle>
    <tableStyle name="Assignment schedule" pivot="0" count="7" xr9:uid="{D100DF4A-C691-48CD-9319-B3EA96DA57C6}">
      <tableStyleElement type="wholeTable" dxfId="12"/>
      <tableStyleElement type="headerRow" dxfId="11"/>
      <tableStyleElement type="totalRow" dxfId="10"/>
      <tableStyleElement type="firstColumn" dxfId="9"/>
      <tableStyleElement type="lastColumn" dxfId="8"/>
      <tableStyleElement type="firstRowStripe" dxfId="7"/>
      <tableStyleElement type="firstColumn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c:v>
          </c:tx>
          <c:invertIfNegative val="0"/>
          <c:cat>
            <c:strRef>
              <c:f>Resumen!$E$83:$E$88</c:f>
              <c:strCache>
                <c:ptCount val="6"/>
                <c:pt idx="0">
                  <c:v>Chorrera-El Torno</c:v>
                </c:pt>
                <c:pt idx="1">
                  <c:v>Justo Arosemena</c:v>
                </c:pt>
                <c:pt idx="2">
                  <c:v>Llanos Sanchez-Pocrí</c:v>
                </c:pt>
                <c:pt idx="3">
                  <c:v>Panamá III- La Floresta</c:v>
                </c:pt>
                <c:pt idx="4">
                  <c:v>Santiago II</c:v>
                </c:pt>
                <c:pt idx="5">
                  <c:v>El Coco II</c:v>
                </c:pt>
              </c:strCache>
            </c:strRef>
          </c:cat>
          <c:val>
            <c:numRef>
              <c:f>Resumen!$G$83:$G$88</c:f>
              <c:numCache>
                <c:formatCode>0.00%</c:formatCode>
                <c:ptCount val="6"/>
                <c:pt idx="0">
                  <c:v>0.7875294117647057</c:v>
                </c:pt>
                <c:pt idx="1">
                  <c:v>0.79644444444444462</c:v>
                </c:pt>
                <c:pt idx="2">
                  <c:v>0.31474747474747472</c:v>
                </c:pt>
                <c:pt idx="3">
                  <c:v>4.6666666666666669E-2</c:v>
                </c:pt>
                <c:pt idx="4">
                  <c:v>3.3333333333333333E-2</c:v>
                </c:pt>
                <c:pt idx="5">
                  <c:v>4.3333333333333335E-2</c:v>
                </c:pt>
              </c:numCache>
            </c:numRef>
          </c:val>
          <c:extLst>
            <c:ext xmlns:c16="http://schemas.microsoft.com/office/drawing/2014/chart" uri="{C3380CC4-5D6E-409C-BE32-E72D297353CC}">
              <c16:uniqueId val="{0000000B-3376-47AF-B501-D700A810B399}"/>
            </c:ext>
          </c:extLst>
        </c:ser>
        <c:dLbls>
          <c:showLegendKey val="0"/>
          <c:showVal val="0"/>
          <c:showCatName val="0"/>
          <c:showSerName val="0"/>
          <c:showPercent val="0"/>
          <c:showBubbleSize val="0"/>
        </c:dLbls>
        <c:gapWidth val="150"/>
        <c:axId val="768247184"/>
        <c:axId val="768246224"/>
      </c:barChart>
      <c:catAx>
        <c:axId val="768247184"/>
        <c:scaling>
          <c:orientation val="minMax"/>
        </c:scaling>
        <c:delete val="0"/>
        <c:axPos val="b"/>
        <c:numFmt formatCode="General" sourceLinked="1"/>
        <c:majorTickMark val="out"/>
        <c:minorTickMark val="none"/>
        <c:tickLblPos val="nextTo"/>
        <c:txPr>
          <a:bodyPr rot="0" vert="horz"/>
          <a:lstStyle/>
          <a:p>
            <a:pPr>
              <a:defRPr/>
            </a:pPr>
            <a:endParaRPr lang="es-CO"/>
          </a:p>
        </c:txPr>
        <c:crossAx val="768246224"/>
        <c:crosses val="autoZero"/>
        <c:auto val="1"/>
        <c:lblAlgn val="ctr"/>
        <c:lblOffset val="100"/>
        <c:noMultiLvlLbl val="0"/>
      </c:catAx>
      <c:valAx>
        <c:axId val="768246224"/>
        <c:scaling>
          <c:orientation val="minMax"/>
        </c:scaling>
        <c:delete val="0"/>
        <c:axPos val="l"/>
        <c:majorGridlines/>
        <c:numFmt formatCode="0.00%" sourceLinked="1"/>
        <c:majorTickMark val="out"/>
        <c:minorTickMark val="none"/>
        <c:tickLblPos val="nextTo"/>
        <c:crossAx val="7682471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Informe estudio de suelos</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Resumen!$E$107:$E$112</c:f>
              <c:numCache>
                <c:formatCode>0.00%</c:formatCode>
                <c:ptCount val="6"/>
                <c:pt idx="0">
                  <c:v>1</c:v>
                </c:pt>
                <c:pt idx="1">
                  <c:v>1</c:v>
                </c:pt>
                <c:pt idx="2">
                  <c:v>1</c:v>
                </c:pt>
                <c:pt idx="3">
                  <c:v>1</c:v>
                </c:pt>
                <c:pt idx="4">
                  <c:v>0.6</c:v>
                </c:pt>
                <c:pt idx="5">
                  <c:v>1</c:v>
                </c:pt>
              </c:numCache>
            </c:numRef>
          </c:val>
          <c:extLst>
            <c:ext xmlns:c16="http://schemas.microsoft.com/office/drawing/2014/chart" uri="{C3380CC4-5D6E-409C-BE32-E72D297353CC}">
              <c16:uniqueId val="{0000000B-C4F8-4696-B79F-10F4DBE46C94}"/>
            </c:ext>
          </c:extLst>
        </c:ser>
        <c:ser>
          <c:idx val="1"/>
          <c:order val="1"/>
          <c:tx>
            <c:v>Informe de levantamiento topográfico</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Resumen!$F$107:$F$112</c:f>
              <c:numCache>
                <c:formatCode>0.00%</c:formatCode>
                <c:ptCount val="6"/>
                <c:pt idx="0">
                  <c:v>1</c:v>
                </c:pt>
                <c:pt idx="1">
                  <c:v>1</c:v>
                </c:pt>
                <c:pt idx="2">
                  <c:v>1</c:v>
                </c:pt>
                <c:pt idx="3">
                  <c:v>0.6</c:v>
                </c:pt>
                <c:pt idx="4">
                  <c:v>0.6</c:v>
                </c:pt>
                <c:pt idx="5">
                  <c:v>0.8</c:v>
                </c:pt>
              </c:numCache>
            </c:numRef>
          </c:val>
          <c:extLst>
            <c:ext xmlns:c16="http://schemas.microsoft.com/office/drawing/2014/chart" uri="{C3380CC4-5D6E-409C-BE32-E72D297353CC}">
              <c16:uniqueId val="{0000000C-C4F8-4696-B79F-10F4DBE46C94}"/>
            </c:ext>
          </c:extLst>
        </c:ser>
        <c:ser>
          <c:idx val="2"/>
          <c:order val="2"/>
          <c:tx>
            <c:v>Informe de Georradar</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Resumen!$G$107:$G$112</c:f>
              <c:numCache>
                <c:formatCode>0.00%</c:formatCode>
                <c:ptCount val="6"/>
                <c:pt idx="0">
                  <c:v>1</c:v>
                </c:pt>
                <c:pt idx="1">
                  <c:v>1</c:v>
                </c:pt>
                <c:pt idx="2">
                  <c:v>1</c:v>
                </c:pt>
                <c:pt idx="3">
                  <c:v>1</c:v>
                </c:pt>
                <c:pt idx="4">
                  <c:v>0.6</c:v>
                </c:pt>
                <c:pt idx="5">
                  <c:v>0</c:v>
                </c:pt>
              </c:numCache>
            </c:numRef>
          </c:val>
          <c:extLst>
            <c:ext xmlns:c16="http://schemas.microsoft.com/office/drawing/2014/chart" uri="{C3380CC4-5D6E-409C-BE32-E72D297353CC}">
              <c16:uniqueId val="{0000000D-C4F8-4696-B79F-10F4DBE46C94}"/>
            </c:ext>
          </c:extLst>
        </c:ser>
        <c:ser>
          <c:idx val="3"/>
          <c:order val="3"/>
          <c:tx>
            <c:v>Plano Levantamiento topográfico</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Resumen!$H$107:$H$112</c:f>
              <c:numCache>
                <c:formatCode>0.00%</c:formatCode>
                <c:ptCount val="6"/>
                <c:pt idx="0">
                  <c:v>1</c:v>
                </c:pt>
                <c:pt idx="1">
                  <c:v>1</c:v>
                </c:pt>
                <c:pt idx="2">
                  <c:v>1</c:v>
                </c:pt>
                <c:pt idx="3">
                  <c:v>0.6</c:v>
                </c:pt>
                <c:pt idx="4">
                  <c:v>0.6</c:v>
                </c:pt>
                <c:pt idx="5">
                  <c:v>0.8</c:v>
                </c:pt>
              </c:numCache>
            </c:numRef>
          </c:val>
          <c:extLst>
            <c:ext xmlns:c16="http://schemas.microsoft.com/office/drawing/2014/chart" uri="{C3380CC4-5D6E-409C-BE32-E72D297353CC}">
              <c16:uniqueId val="{0000000E-C4F8-4696-B79F-10F4DBE46C94}"/>
            </c:ext>
          </c:extLst>
        </c:ser>
        <c:ser>
          <c:idx val="4"/>
          <c:order val="4"/>
          <c:tx>
            <c:v>Plano Georradar</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Resumen!$I$107:$I$112</c:f>
              <c:numCache>
                <c:formatCode>0.00%</c:formatCode>
                <c:ptCount val="6"/>
                <c:pt idx="0">
                  <c:v>1</c:v>
                </c:pt>
                <c:pt idx="1">
                  <c:v>0.6</c:v>
                </c:pt>
                <c:pt idx="2">
                  <c:v>1</c:v>
                </c:pt>
                <c:pt idx="3">
                  <c:v>1</c:v>
                </c:pt>
                <c:pt idx="4">
                  <c:v>0.6</c:v>
                </c:pt>
                <c:pt idx="5">
                  <c:v>0</c:v>
                </c:pt>
              </c:numCache>
            </c:numRef>
          </c:val>
          <c:extLst>
            <c:ext xmlns:c16="http://schemas.microsoft.com/office/drawing/2014/chart" uri="{C3380CC4-5D6E-409C-BE32-E72D297353CC}">
              <c16:uniqueId val="{0000000F-C4F8-4696-B79F-10F4DBE46C94}"/>
            </c:ext>
          </c:extLst>
        </c:ser>
        <c:ser>
          <c:idx val="5"/>
          <c:order val="5"/>
          <c:tx>
            <c:v>TOTAL %</c:v>
          </c:tx>
          <c:invertIfNegative val="0"/>
          <c:cat>
            <c:strRef>
              <c:f>Resumen!$C$107:$C$112</c:f>
              <c:strCache>
                <c:ptCount val="6"/>
                <c:pt idx="0">
                  <c:v>Chorrera-El Torno</c:v>
                </c:pt>
                <c:pt idx="1">
                  <c:v>Justo Arosemena</c:v>
                </c:pt>
                <c:pt idx="2">
                  <c:v>Llanos Sanchez-Pocrí</c:v>
                </c:pt>
                <c:pt idx="3">
                  <c:v>Panamá III- La Floresta</c:v>
                </c:pt>
                <c:pt idx="4">
                  <c:v>Santiago II</c:v>
                </c:pt>
                <c:pt idx="5">
                  <c:v>El Coco II</c:v>
                </c:pt>
              </c:strCache>
            </c:strRef>
          </c:cat>
          <c:val>
            <c:numRef>
              <c:f>Resumen!$J$107:$J$112</c:f>
              <c:numCache>
                <c:formatCode>0.00%</c:formatCode>
                <c:ptCount val="6"/>
                <c:pt idx="0">
                  <c:v>1</c:v>
                </c:pt>
                <c:pt idx="1">
                  <c:v>0.91999999999999993</c:v>
                </c:pt>
                <c:pt idx="2">
                  <c:v>1</c:v>
                </c:pt>
                <c:pt idx="3">
                  <c:v>0.84000000000000008</c:v>
                </c:pt>
                <c:pt idx="4">
                  <c:v>0.6</c:v>
                </c:pt>
                <c:pt idx="5">
                  <c:v>0.8666666666666667</c:v>
                </c:pt>
              </c:numCache>
            </c:numRef>
          </c:val>
          <c:extLst>
            <c:ext xmlns:c16="http://schemas.microsoft.com/office/drawing/2014/chart" uri="{C3380CC4-5D6E-409C-BE32-E72D297353CC}">
              <c16:uniqueId val="{00000010-C4F8-4696-B79F-10F4DBE46C94}"/>
            </c:ext>
          </c:extLst>
        </c:ser>
        <c:dLbls>
          <c:showLegendKey val="0"/>
          <c:showVal val="0"/>
          <c:showCatName val="0"/>
          <c:showSerName val="0"/>
          <c:showPercent val="0"/>
          <c:showBubbleSize val="0"/>
        </c:dLbls>
        <c:gapWidth val="150"/>
        <c:axId val="802180256"/>
        <c:axId val="802186016"/>
      </c:barChart>
      <c:catAx>
        <c:axId val="802180256"/>
        <c:scaling>
          <c:orientation val="minMax"/>
        </c:scaling>
        <c:delete val="0"/>
        <c:axPos val="b"/>
        <c:numFmt formatCode="General" sourceLinked="1"/>
        <c:majorTickMark val="out"/>
        <c:minorTickMark val="none"/>
        <c:tickLblPos val="nextTo"/>
        <c:txPr>
          <a:bodyPr rot="0" vert="horz"/>
          <a:lstStyle/>
          <a:p>
            <a:pPr>
              <a:defRPr/>
            </a:pPr>
            <a:endParaRPr lang="es-CO"/>
          </a:p>
        </c:txPr>
        <c:crossAx val="802186016"/>
        <c:crosses val="autoZero"/>
        <c:auto val="1"/>
        <c:lblAlgn val="ctr"/>
        <c:lblOffset val="100"/>
        <c:noMultiLvlLbl val="0"/>
      </c:catAx>
      <c:valAx>
        <c:axId val="802186016"/>
        <c:scaling>
          <c:orientation val="minMax"/>
        </c:scaling>
        <c:delete val="0"/>
        <c:axPos val="l"/>
        <c:majorGridlines/>
        <c:numFmt formatCode="0.00%" sourceLinked="1"/>
        <c:majorTickMark val="out"/>
        <c:minorTickMark val="none"/>
        <c:tickLblPos val="nextTo"/>
        <c:crossAx val="8021802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Total</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Resumen!$B$131:$B$136</c:f>
              <c:numCache>
                <c:formatCode>0</c:formatCode>
                <c:ptCount val="6"/>
                <c:pt idx="0">
                  <c:v>75</c:v>
                </c:pt>
                <c:pt idx="1">
                  <c:v>51</c:v>
                </c:pt>
                <c:pt idx="2">
                  <c:v>80</c:v>
                </c:pt>
                <c:pt idx="3">
                  <c:v>81</c:v>
                </c:pt>
                <c:pt idx="4">
                  <c:v>49</c:v>
                </c:pt>
                <c:pt idx="5">
                  <c:v>79</c:v>
                </c:pt>
              </c:numCache>
            </c:numRef>
          </c:val>
          <c:extLst>
            <c:ext xmlns:c16="http://schemas.microsoft.com/office/drawing/2014/chart" uri="{C3380CC4-5D6E-409C-BE32-E72D297353CC}">
              <c16:uniqueId val="{0000000B-AA24-4F76-8F48-C3964B0D0B18}"/>
            </c:ext>
          </c:extLst>
        </c:ser>
        <c:ser>
          <c:idx val="1"/>
          <c:order val="1"/>
          <c:tx>
            <c:v>Rechazados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Resumen!$C$131:$C$136</c:f>
              <c:numCache>
                <c:formatCode>0</c:formatCode>
                <c:ptCount val="6"/>
                <c:pt idx="0">
                  <c:v>53</c:v>
                </c:pt>
                <c:pt idx="1">
                  <c:v>17</c:v>
                </c:pt>
                <c:pt idx="2">
                  <c:v>0</c:v>
                </c:pt>
                <c:pt idx="3">
                  <c:v>2</c:v>
                </c:pt>
                <c:pt idx="4">
                  <c:v>5</c:v>
                </c:pt>
                <c:pt idx="5">
                  <c:v>0</c:v>
                </c:pt>
              </c:numCache>
            </c:numRef>
          </c:val>
          <c:extLst>
            <c:ext xmlns:c16="http://schemas.microsoft.com/office/drawing/2014/chart" uri="{C3380CC4-5D6E-409C-BE32-E72D297353CC}">
              <c16:uniqueId val="{0000000C-AA24-4F76-8F48-C3964B0D0B18}"/>
            </c:ext>
          </c:extLst>
        </c:ser>
        <c:ser>
          <c:idx val="2"/>
          <c:order val="2"/>
          <c:tx>
            <c:v>% Rechazados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Resumen!$D$131:$D$136</c:f>
              <c:numCache>
                <c:formatCode>0.00%</c:formatCode>
                <c:ptCount val="6"/>
                <c:pt idx="0">
                  <c:v>0.70666666666666667</c:v>
                </c:pt>
                <c:pt idx="1">
                  <c:v>0.33333333333333331</c:v>
                </c:pt>
                <c:pt idx="2">
                  <c:v>0</c:v>
                </c:pt>
                <c:pt idx="3">
                  <c:v>2.4691358024691357E-2</c:v>
                </c:pt>
                <c:pt idx="4">
                  <c:v>0.10204081632653061</c:v>
                </c:pt>
                <c:pt idx="5">
                  <c:v>0</c:v>
                </c:pt>
              </c:numCache>
            </c:numRef>
          </c:val>
          <c:extLst>
            <c:ext xmlns:c16="http://schemas.microsoft.com/office/drawing/2014/chart" uri="{C3380CC4-5D6E-409C-BE32-E72D297353CC}">
              <c16:uniqueId val="{0000000D-AA24-4F76-8F48-C3964B0D0B18}"/>
            </c:ext>
          </c:extLst>
        </c:ser>
        <c:ser>
          <c:idx val="3"/>
          <c:order val="3"/>
          <c:tx>
            <c:v>Aprobados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Resumen!$E$131:$E$136</c:f>
              <c:numCache>
                <c:formatCode>0</c:formatCode>
                <c:ptCount val="6"/>
                <c:pt idx="0">
                  <c:v>21</c:v>
                </c:pt>
                <c:pt idx="1">
                  <c:v>5</c:v>
                </c:pt>
                <c:pt idx="2">
                  <c:v>5</c:v>
                </c:pt>
                <c:pt idx="3">
                  <c:v>3</c:v>
                </c:pt>
                <c:pt idx="4">
                  <c:v>0</c:v>
                </c:pt>
                <c:pt idx="5">
                  <c:v>1</c:v>
                </c:pt>
              </c:numCache>
            </c:numRef>
          </c:val>
          <c:extLst>
            <c:ext xmlns:c16="http://schemas.microsoft.com/office/drawing/2014/chart" uri="{C3380CC4-5D6E-409C-BE32-E72D297353CC}">
              <c16:uniqueId val="{0000000E-AA24-4F76-8F48-C3964B0D0B18}"/>
            </c:ext>
          </c:extLst>
        </c:ser>
        <c:ser>
          <c:idx val="4"/>
          <c:order val="4"/>
          <c:tx>
            <c:v>% Aprobados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Resumen!$F$131:$F$136</c:f>
              <c:numCache>
                <c:formatCode>0.00%</c:formatCode>
                <c:ptCount val="6"/>
                <c:pt idx="0">
                  <c:v>0.28000000000000003</c:v>
                </c:pt>
                <c:pt idx="1">
                  <c:v>9.8039215686274508E-2</c:v>
                </c:pt>
                <c:pt idx="2">
                  <c:v>6.25E-2</c:v>
                </c:pt>
                <c:pt idx="3">
                  <c:v>3.7037037037037035E-2</c:v>
                </c:pt>
                <c:pt idx="4">
                  <c:v>0</c:v>
                </c:pt>
                <c:pt idx="5">
                  <c:v>1.2658227848101266E-2</c:v>
                </c:pt>
              </c:numCache>
            </c:numRef>
          </c:val>
          <c:extLst>
            <c:ext xmlns:c16="http://schemas.microsoft.com/office/drawing/2014/chart" uri="{C3380CC4-5D6E-409C-BE32-E72D297353CC}">
              <c16:uniqueId val="{0000000F-AA24-4F76-8F48-C3964B0D0B18}"/>
            </c:ext>
          </c:extLst>
        </c:ser>
        <c:ser>
          <c:idx val="5"/>
          <c:order val="5"/>
          <c:tx>
            <c:v>En revisión</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Resumen!$G$131:$G$136</c:f>
              <c:numCache>
                <c:formatCode>0</c:formatCode>
                <c:ptCount val="6"/>
                <c:pt idx="0">
                  <c:v>1</c:v>
                </c:pt>
                <c:pt idx="1">
                  <c:v>29</c:v>
                </c:pt>
                <c:pt idx="2">
                  <c:v>0</c:v>
                </c:pt>
                <c:pt idx="3">
                  <c:v>0</c:v>
                </c:pt>
                <c:pt idx="4">
                  <c:v>0</c:v>
                </c:pt>
                <c:pt idx="5">
                  <c:v>2</c:v>
                </c:pt>
              </c:numCache>
            </c:numRef>
          </c:val>
          <c:extLst>
            <c:ext xmlns:c16="http://schemas.microsoft.com/office/drawing/2014/chart" uri="{C3380CC4-5D6E-409C-BE32-E72D297353CC}">
              <c16:uniqueId val="{00000010-AA24-4F76-8F48-C3964B0D0B18}"/>
            </c:ext>
          </c:extLst>
        </c:ser>
        <c:ser>
          <c:idx val="6"/>
          <c:order val="6"/>
          <c:tx>
            <c:v>% En revisión</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Resumen!$H$131:$H$136</c:f>
              <c:numCache>
                <c:formatCode>0.00%</c:formatCode>
                <c:ptCount val="6"/>
                <c:pt idx="0">
                  <c:v>1.3333333333333334E-2</c:v>
                </c:pt>
                <c:pt idx="1">
                  <c:v>0.56862745098039214</c:v>
                </c:pt>
                <c:pt idx="2">
                  <c:v>0</c:v>
                </c:pt>
                <c:pt idx="3">
                  <c:v>0</c:v>
                </c:pt>
                <c:pt idx="4">
                  <c:v>0</c:v>
                </c:pt>
                <c:pt idx="5">
                  <c:v>2.5316455696202531E-2</c:v>
                </c:pt>
              </c:numCache>
            </c:numRef>
          </c:val>
          <c:extLst>
            <c:ext xmlns:c16="http://schemas.microsoft.com/office/drawing/2014/chart" uri="{C3380CC4-5D6E-409C-BE32-E72D297353CC}">
              <c16:uniqueId val="{00000011-AA24-4F76-8F48-C3964B0D0B18}"/>
            </c:ext>
          </c:extLst>
        </c:ser>
        <c:ser>
          <c:idx val="7"/>
          <c:order val="7"/>
          <c:tx>
            <c:v>En proceso</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Resumen!$I$131:$I$136</c:f>
              <c:numCache>
                <c:formatCode>0</c:formatCode>
                <c:ptCount val="6"/>
                <c:pt idx="0">
                  <c:v>0</c:v>
                </c:pt>
                <c:pt idx="1">
                  <c:v>0</c:v>
                </c:pt>
                <c:pt idx="2">
                  <c:v>75</c:v>
                </c:pt>
                <c:pt idx="3">
                  <c:v>0</c:v>
                </c:pt>
                <c:pt idx="4">
                  <c:v>0</c:v>
                </c:pt>
                <c:pt idx="5">
                  <c:v>0</c:v>
                </c:pt>
              </c:numCache>
            </c:numRef>
          </c:val>
          <c:extLst>
            <c:ext xmlns:c16="http://schemas.microsoft.com/office/drawing/2014/chart" uri="{C3380CC4-5D6E-409C-BE32-E72D297353CC}">
              <c16:uniqueId val="{00000012-AA24-4F76-8F48-C3964B0D0B18}"/>
            </c:ext>
          </c:extLst>
        </c:ser>
        <c:ser>
          <c:idx val="8"/>
          <c:order val="8"/>
          <c:tx>
            <c:v>% En proceso</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Resumen!$J$131:$J$136</c:f>
              <c:numCache>
                <c:formatCode>0.00%</c:formatCode>
                <c:ptCount val="6"/>
                <c:pt idx="0">
                  <c:v>0</c:v>
                </c:pt>
                <c:pt idx="1">
                  <c:v>0</c:v>
                </c:pt>
                <c:pt idx="2">
                  <c:v>0.9375</c:v>
                </c:pt>
                <c:pt idx="3">
                  <c:v>0</c:v>
                </c:pt>
                <c:pt idx="4">
                  <c:v>0</c:v>
                </c:pt>
                <c:pt idx="5">
                  <c:v>0</c:v>
                </c:pt>
              </c:numCache>
            </c:numRef>
          </c:val>
          <c:extLst>
            <c:ext xmlns:c16="http://schemas.microsoft.com/office/drawing/2014/chart" uri="{C3380CC4-5D6E-409C-BE32-E72D297353CC}">
              <c16:uniqueId val="{00000013-AA24-4F76-8F48-C3964B0D0B18}"/>
            </c:ext>
          </c:extLst>
        </c:ser>
        <c:ser>
          <c:idx val="9"/>
          <c:order val="9"/>
          <c:tx>
            <c:v>Atención comentarios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Resumen!$K$131:$K$136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4-AA24-4F76-8F48-C3964B0D0B18}"/>
            </c:ext>
          </c:extLst>
        </c:ser>
        <c:ser>
          <c:idx val="10"/>
          <c:order val="10"/>
          <c:tx>
            <c:v>% Atención comentarios</c:v>
          </c:tx>
          <c:invertIfNegative val="0"/>
          <c:cat>
            <c:strRef>
              <c:f>Resumen!$A$131:$A$136</c:f>
              <c:strCache>
                <c:ptCount val="6"/>
                <c:pt idx="0">
                  <c:v>Chorrera-El Torno</c:v>
                </c:pt>
                <c:pt idx="1">
                  <c:v>Justo Arosemena</c:v>
                </c:pt>
                <c:pt idx="2">
                  <c:v>Llanos Sanchez-Pocrí</c:v>
                </c:pt>
                <c:pt idx="3">
                  <c:v>Panamá III- La Floresta</c:v>
                </c:pt>
                <c:pt idx="4">
                  <c:v>Santiago II</c:v>
                </c:pt>
                <c:pt idx="5">
                  <c:v>El Coco II</c:v>
                </c:pt>
              </c:strCache>
            </c:strRef>
          </c:cat>
          <c:val>
            <c:numRef>
              <c:f>Resumen!$L$131:$L$136</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5-AA24-4F76-8F48-C3964B0D0B18}"/>
            </c:ext>
          </c:extLst>
        </c:ser>
        <c:dLbls>
          <c:showLegendKey val="0"/>
          <c:showVal val="0"/>
          <c:showCatName val="0"/>
          <c:showSerName val="0"/>
          <c:showPercent val="0"/>
          <c:showBubbleSize val="0"/>
        </c:dLbls>
        <c:gapWidth val="150"/>
        <c:axId val="2088157232"/>
        <c:axId val="2088158192"/>
      </c:barChart>
      <c:catAx>
        <c:axId val="2088157232"/>
        <c:scaling>
          <c:orientation val="minMax"/>
        </c:scaling>
        <c:delete val="0"/>
        <c:axPos val="b"/>
        <c:numFmt formatCode="General" sourceLinked="1"/>
        <c:majorTickMark val="out"/>
        <c:minorTickMark val="none"/>
        <c:tickLblPos val="nextTo"/>
        <c:txPr>
          <a:bodyPr rot="0" vert="horz"/>
          <a:lstStyle/>
          <a:p>
            <a:pPr>
              <a:defRPr/>
            </a:pPr>
            <a:endParaRPr lang="es-CO"/>
          </a:p>
        </c:txPr>
        <c:crossAx val="2088158192"/>
        <c:crosses val="autoZero"/>
        <c:auto val="1"/>
        <c:lblAlgn val="ctr"/>
        <c:lblOffset val="100"/>
        <c:noMultiLvlLbl val="0"/>
      </c:catAx>
      <c:valAx>
        <c:axId val="2088158192"/>
        <c:scaling>
          <c:orientation val="minMax"/>
        </c:scaling>
        <c:delete val="0"/>
        <c:axPos val="l"/>
        <c:majorGridlines/>
        <c:numFmt formatCode="0" sourceLinked="1"/>
        <c:majorTickMark val="out"/>
        <c:minorTickMark val="none"/>
        <c:tickLblPos val="nextTo"/>
        <c:crossAx val="2088157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SST</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Resumen!$D$155:$D$160</c:f>
              <c:numCache>
                <c:formatCode>0.00%</c:formatCode>
                <c:ptCount val="6"/>
                <c:pt idx="0">
                  <c:v>0.8</c:v>
                </c:pt>
                <c:pt idx="1">
                  <c:v>1</c:v>
                </c:pt>
                <c:pt idx="2">
                  <c:v>0.45</c:v>
                </c:pt>
                <c:pt idx="3">
                  <c:v>0</c:v>
                </c:pt>
                <c:pt idx="4">
                  <c:v>0</c:v>
                </c:pt>
                <c:pt idx="5">
                  <c:v>0</c:v>
                </c:pt>
              </c:numCache>
            </c:numRef>
          </c:val>
          <c:extLst>
            <c:ext xmlns:c16="http://schemas.microsoft.com/office/drawing/2014/chart" uri="{C3380CC4-5D6E-409C-BE32-E72D297353CC}">
              <c16:uniqueId val="{0000000B-44ED-414D-9D46-5F054A10C003}"/>
            </c:ext>
          </c:extLst>
        </c:ser>
        <c:ser>
          <c:idx val="1"/>
          <c:order val="1"/>
          <c:tx>
            <c:v>Condiciones_OC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Resumen!$E$155:$E$160</c:f>
              <c:numCache>
                <c:formatCode>0.00%</c:formatCode>
                <c:ptCount val="6"/>
                <c:pt idx="0">
                  <c:v>0.6</c:v>
                </c:pt>
                <c:pt idx="1">
                  <c:v>0.8</c:v>
                </c:pt>
                <c:pt idx="2">
                  <c:v>0.35</c:v>
                </c:pt>
                <c:pt idx="3">
                  <c:v>0</c:v>
                </c:pt>
                <c:pt idx="4">
                  <c:v>0</c:v>
                </c:pt>
                <c:pt idx="5">
                  <c:v>0</c:v>
                </c:pt>
              </c:numCache>
            </c:numRef>
          </c:val>
          <c:extLst>
            <c:ext xmlns:c16="http://schemas.microsoft.com/office/drawing/2014/chart" uri="{C3380CC4-5D6E-409C-BE32-E72D297353CC}">
              <c16:uniqueId val="{0000000C-44ED-414D-9D46-5F054A10C003}"/>
            </c:ext>
          </c:extLst>
        </c:ser>
        <c:ser>
          <c:idx val="2"/>
          <c:order val="2"/>
          <c:tx>
            <c:v>EETT_OC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Resumen!$F$155:$F$160</c:f>
              <c:numCache>
                <c:formatCode>0.00%</c:formatCode>
                <c:ptCount val="6"/>
                <c:pt idx="0">
                  <c:v>0.6</c:v>
                </c:pt>
                <c:pt idx="1">
                  <c:v>0.6</c:v>
                </c:pt>
                <c:pt idx="2">
                  <c:v>0.35</c:v>
                </c:pt>
                <c:pt idx="3">
                  <c:v>0</c:v>
                </c:pt>
                <c:pt idx="4">
                  <c:v>0</c:v>
                </c:pt>
                <c:pt idx="5">
                  <c:v>0</c:v>
                </c:pt>
              </c:numCache>
            </c:numRef>
          </c:val>
          <c:extLst>
            <c:ext xmlns:c16="http://schemas.microsoft.com/office/drawing/2014/chart" uri="{C3380CC4-5D6E-409C-BE32-E72D297353CC}">
              <c16:uniqueId val="{0000000D-44ED-414D-9D46-5F054A10C003}"/>
            </c:ext>
          </c:extLst>
        </c:ser>
        <c:ser>
          <c:idx val="3"/>
          <c:order val="3"/>
          <c:tx>
            <c:v>Presupuesto_OC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Resumen!$G$155:$G$160</c:f>
              <c:numCache>
                <c:formatCode>0.00%</c:formatCode>
                <c:ptCount val="6"/>
                <c:pt idx="0">
                  <c:v>0.6</c:v>
                </c:pt>
                <c:pt idx="1">
                  <c:v>0.8</c:v>
                </c:pt>
                <c:pt idx="2">
                  <c:v>0.1</c:v>
                </c:pt>
                <c:pt idx="3">
                  <c:v>0</c:v>
                </c:pt>
                <c:pt idx="4">
                  <c:v>0</c:v>
                </c:pt>
                <c:pt idx="5">
                  <c:v>0</c:v>
                </c:pt>
              </c:numCache>
            </c:numRef>
          </c:val>
          <c:extLst>
            <c:ext xmlns:c16="http://schemas.microsoft.com/office/drawing/2014/chart" uri="{C3380CC4-5D6E-409C-BE32-E72D297353CC}">
              <c16:uniqueId val="{0000000E-44ED-414D-9D46-5F054A10C003}"/>
            </c:ext>
          </c:extLst>
        </c:ser>
        <c:ser>
          <c:idx val="4"/>
          <c:order val="4"/>
          <c:tx>
            <c:v>Cronograma_OC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Resumen!$H$155:$H$160</c:f>
              <c:numCache>
                <c:formatCode>0.00%</c:formatCode>
                <c:ptCount val="6"/>
                <c:pt idx="0">
                  <c:v>1</c:v>
                </c:pt>
                <c:pt idx="1">
                  <c:v>0.8</c:v>
                </c:pt>
                <c:pt idx="2">
                  <c:v>0.05</c:v>
                </c:pt>
                <c:pt idx="3">
                  <c:v>0</c:v>
                </c:pt>
                <c:pt idx="4">
                  <c:v>0</c:v>
                </c:pt>
                <c:pt idx="5">
                  <c:v>0</c:v>
                </c:pt>
              </c:numCache>
            </c:numRef>
          </c:val>
          <c:extLst>
            <c:ext xmlns:c16="http://schemas.microsoft.com/office/drawing/2014/chart" uri="{C3380CC4-5D6E-409C-BE32-E72D297353CC}">
              <c16:uniqueId val="{0000000F-44ED-414D-9D46-5F054A10C003}"/>
            </c:ext>
          </c:extLst>
        </c:ser>
        <c:ser>
          <c:idx val="5"/>
          <c:order val="5"/>
          <c:tx>
            <c:v>Memorias_OC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Resumen!$I$155:$I$160</c:f>
              <c:numCache>
                <c:formatCode>0.00%</c:formatCode>
                <c:ptCount val="6"/>
                <c:pt idx="0">
                  <c:v>1</c:v>
                </c:pt>
                <c:pt idx="1">
                  <c:v>0.80000000000000016</c:v>
                </c:pt>
                <c:pt idx="2">
                  <c:v>0.35</c:v>
                </c:pt>
                <c:pt idx="3">
                  <c:v>0</c:v>
                </c:pt>
                <c:pt idx="4">
                  <c:v>0</c:v>
                </c:pt>
                <c:pt idx="5">
                  <c:v>0</c:v>
                </c:pt>
              </c:numCache>
            </c:numRef>
          </c:val>
          <c:extLst>
            <c:ext xmlns:c16="http://schemas.microsoft.com/office/drawing/2014/chart" uri="{C3380CC4-5D6E-409C-BE32-E72D297353CC}">
              <c16:uniqueId val="{00000010-44ED-414D-9D46-5F054A10C003}"/>
            </c:ext>
          </c:extLst>
        </c:ser>
        <c:ser>
          <c:idx val="6"/>
          <c:order val="6"/>
          <c:tx>
            <c:v>Modelos_OC</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Resumen!$J$155:$J$160</c:f>
              <c:numCache>
                <c:formatCode>0.00%</c:formatCode>
                <c:ptCount val="6"/>
                <c:pt idx="0">
                  <c:v>0.42</c:v>
                </c:pt>
                <c:pt idx="1">
                  <c:v>0.62666666666666659</c:v>
                </c:pt>
                <c:pt idx="2">
                  <c:v>0.20454545454545456</c:v>
                </c:pt>
                <c:pt idx="3">
                  <c:v>0</c:v>
                </c:pt>
                <c:pt idx="4">
                  <c:v>0</c:v>
                </c:pt>
                <c:pt idx="5">
                  <c:v>0</c:v>
                </c:pt>
              </c:numCache>
            </c:numRef>
          </c:val>
          <c:extLst>
            <c:ext xmlns:c16="http://schemas.microsoft.com/office/drawing/2014/chart" uri="{C3380CC4-5D6E-409C-BE32-E72D297353CC}">
              <c16:uniqueId val="{00000011-44ED-414D-9D46-5F054A10C003}"/>
            </c:ext>
          </c:extLst>
        </c:ser>
        <c:ser>
          <c:idx val="7"/>
          <c:order val="7"/>
          <c:tx>
            <c:v>TOTAL %</c:v>
          </c:tx>
          <c:invertIfNegative val="0"/>
          <c:cat>
            <c:strRef>
              <c:f>Resumen!$B$155:$B$160</c:f>
              <c:strCache>
                <c:ptCount val="6"/>
                <c:pt idx="0">
                  <c:v>Chorrera-El Torno</c:v>
                </c:pt>
                <c:pt idx="1">
                  <c:v>Justo Arosemena</c:v>
                </c:pt>
                <c:pt idx="2">
                  <c:v>Llanos Sanchez-Pocrí</c:v>
                </c:pt>
                <c:pt idx="3">
                  <c:v>Panamá III- La Floresta</c:v>
                </c:pt>
                <c:pt idx="4">
                  <c:v>Santiago II</c:v>
                </c:pt>
                <c:pt idx="5">
                  <c:v>El Coco II</c:v>
                </c:pt>
              </c:strCache>
            </c:strRef>
          </c:cat>
          <c:val>
            <c:numRef>
              <c:f>Resumen!$K$155:$K$160</c:f>
              <c:numCache>
                <c:formatCode>0.00%</c:formatCode>
                <c:ptCount val="6"/>
                <c:pt idx="0">
                  <c:v>0.71714285714285708</c:v>
                </c:pt>
                <c:pt idx="1">
                  <c:v>0.77523809523809528</c:v>
                </c:pt>
                <c:pt idx="2">
                  <c:v>0.26493506493506491</c:v>
                </c:pt>
                <c:pt idx="3">
                  <c:v>0</c:v>
                </c:pt>
                <c:pt idx="4">
                  <c:v>0</c:v>
                </c:pt>
                <c:pt idx="5">
                  <c:v>0</c:v>
                </c:pt>
              </c:numCache>
            </c:numRef>
          </c:val>
          <c:extLst>
            <c:ext xmlns:c16="http://schemas.microsoft.com/office/drawing/2014/chart" uri="{C3380CC4-5D6E-409C-BE32-E72D297353CC}">
              <c16:uniqueId val="{00000012-44ED-414D-9D46-5F054A10C003}"/>
            </c:ext>
          </c:extLst>
        </c:ser>
        <c:dLbls>
          <c:showLegendKey val="0"/>
          <c:showVal val="0"/>
          <c:showCatName val="0"/>
          <c:showSerName val="0"/>
          <c:showPercent val="0"/>
          <c:showBubbleSize val="0"/>
        </c:dLbls>
        <c:gapWidth val="150"/>
        <c:axId val="804962016"/>
        <c:axId val="804964896"/>
      </c:barChart>
      <c:catAx>
        <c:axId val="804962016"/>
        <c:scaling>
          <c:orientation val="minMax"/>
        </c:scaling>
        <c:delete val="0"/>
        <c:axPos val="b"/>
        <c:numFmt formatCode="General" sourceLinked="1"/>
        <c:majorTickMark val="out"/>
        <c:minorTickMark val="none"/>
        <c:tickLblPos val="nextTo"/>
        <c:txPr>
          <a:bodyPr rot="0" vert="horz"/>
          <a:lstStyle/>
          <a:p>
            <a:pPr>
              <a:defRPr/>
            </a:pPr>
            <a:endParaRPr lang="es-CO"/>
          </a:p>
        </c:txPr>
        <c:crossAx val="804964896"/>
        <c:crosses val="autoZero"/>
        <c:auto val="1"/>
        <c:lblAlgn val="ctr"/>
        <c:lblOffset val="100"/>
        <c:noMultiLvlLbl val="0"/>
      </c:catAx>
      <c:valAx>
        <c:axId val="804964896"/>
        <c:scaling>
          <c:orientation val="minMax"/>
        </c:scaling>
        <c:delete val="0"/>
        <c:axPos val="l"/>
        <c:majorGridlines/>
        <c:numFmt formatCode="0.00%" sourceLinked="1"/>
        <c:majorTickMark val="out"/>
        <c:minorTickMark val="none"/>
        <c:tickLblPos val="nextTo"/>
        <c:crossAx val="8049620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Memorias_ME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Resumen!$D$179:$D$184</c:f>
              <c:numCache>
                <c:formatCode>0.00%</c:formatCode>
                <c:ptCount val="6"/>
                <c:pt idx="0">
                  <c:v>1</c:v>
                </c:pt>
                <c:pt idx="1">
                  <c:v>0.80000000000000016</c:v>
                </c:pt>
                <c:pt idx="2">
                  <c:v>0.35000000000000003</c:v>
                </c:pt>
                <c:pt idx="3">
                  <c:v>0</c:v>
                </c:pt>
                <c:pt idx="4">
                  <c:v>0</c:v>
                </c:pt>
                <c:pt idx="5">
                  <c:v>0</c:v>
                </c:pt>
              </c:numCache>
            </c:numRef>
          </c:val>
          <c:extLst>
            <c:ext xmlns:c16="http://schemas.microsoft.com/office/drawing/2014/chart" uri="{C3380CC4-5D6E-409C-BE32-E72D297353CC}">
              <c16:uniqueId val="{0000000B-3B8E-4B69-8752-86DE6E81F5C3}"/>
            </c:ext>
          </c:extLst>
        </c:ser>
        <c:ser>
          <c:idx val="1"/>
          <c:order val="1"/>
          <c:tx>
            <c:v>Equipos</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Resumen!$E$179:$E$184</c:f>
              <c:numCache>
                <c:formatCode>0.00%</c:formatCode>
                <c:ptCount val="6"/>
                <c:pt idx="0">
                  <c:v>1</c:v>
                </c:pt>
                <c:pt idx="1">
                  <c:v>0.8</c:v>
                </c:pt>
                <c:pt idx="2">
                  <c:v>0.35</c:v>
                </c:pt>
                <c:pt idx="3">
                  <c:v>0</c:v>
                </c:pt>
                <c:pt idx="4">
                  <c:v>0</c:v>
                </c:pt>
                <c:pt idx="5">
                  <c:v>0</c:v>
                </c:pt>
              </c:numCache>
            </c:numRef>
          </c:val>
          <c:extLst>
            <c:ext xmlns:c16="http://schemas.microsoft.com/office/drawing/2014/chart" uri="{C3380CC4-5D6E-409C-BE32-E72D297353CC}">
              <c16:uniqueId val="{0000000C-3B8E-4B69-8752-86DE6E81F5C3}"/>
            </c:ext>
          </c:extLst>
        </c:ser>
        <c:ser>
          <c:idx val="2"/>
          <c:order val="2"/>
          <c:tx>
            <c:v>EETT_ME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Resumen!$F$179:$F$184</c:f>
              <c:numCache>
                <c:formatCode>0.00%</c:formatCode>
                <c:ptCount val="6"/>
                <c:pt idx="0">
                  <c:v>0.6</c:v>
                </c:pt>
                <c:pt idx="1">
                  <c:v>0.8</c:v>
                </c:pt>
                <c:pt idx="2">
                  <c:v>0.34999999999999992</c:v>
                </c:pt>
                <c:pt idx="3">
                  <c:v>0</c:v>
                </c:pt>
                <c:pt idx="4">
                  <c:v>0</c:v>
                </c:pt>
                <c:pt idx="5">
                  <c:v>0</c:v>
                </c:pt>
              </c:numCache>
            </c:numRef>
          </c:val>
          <c:extLst>
            <c:ext xmlns:c16="http://schemas.microsoft.com/office/drawing/2014/chart" uri="{C3380CC4-5D6E-409C-BE32-E72D297353CC}">
              <c16:uniqueId val="{0000000D-3B8E-4B69-8752-86DE6E81F5C3}"/>
            </c:ext>
          </c:extLst>
        </c:ser>
        <c:ser>
          <c:idx val="3"/>
          <c:order val="3"/>
          <c:tx>
            <c:v>Condiciones_ME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Resumen!$G$179:$G$184</c:f>
              <c:numCache>
                <c:formatCode>0.00%</c:formatCode>
                <c:ptCount val="6"/>
                <c:pt idx="0">
                  <c:v>0.6</c:v>
                </c:pt>
                <c:pt idx="1">
                  <c:v>0.8</c:v>
                </c:pt>
                <c:pt idx="2">
                  <c:v>0.35</c:v>
                </c:pt>
                <c:pt idx="3">
                  <c:v>0</c:v>
                </c:pt>
                <c:pt idx="4">
                  <c:v>0</c:v>
                </c:pt>
                <c:pt idx="5">
                  <c:v>0</c:v>
                </c:pt>
              </c:numCache>
            </c:numRef>
          </c:val>
          <c:extLst>
            <c:ext xmlns:c16="http://schemas.microsoft.com/office/drawing/2014/chart" uri="{C3380CC4-5D6E-409C-BE32-E72D297353CC}">
              <c16:uniqueId val="{0000000E-3B8E-4B69-8752-86DE6E81F5C3}"/>
            </c:ext>
          </c:extLst>
        </c:ser>
        <c:ser>
          <c:idx val="4"/>
          <c:order val="4"/>
          <c:tx>
            <c:v>Presupuesto_ME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Resumen!$H$179:$H$184</c:f>
              <c:numCache>
                <c:formatCode>0.00%</c:formatCode>
                <c:ptCount val="6"/>
                <c:pt idx="0">
                  <c:v>1</c:v>
                </c:pt>
                <c:pt idx="1">
                  <c:v>0.8</c:v>
                </c:pt>
                <c:pt idx="2">
                  <c:v>0.1</c:v>
                </c:pt>
                <c:pt idx="3">
                  <c:v>0</c:v>
                </c:pt>
                <c:pt idx="4">
                  <c:v>0</c:v>
                </c:pt>
                <c:pt idx="5">
                  <c:v>0</c:v>
                </c:pt>
              </c:numCache>
            </c:numRef>
          </c:val>
          <c:extLst>
            <c:ext xmlns:c16="http://schemas.microsoft.com/office/drawing/2014/chart" uri="{C3380CC4-5D6E-409C-BE32-E72D297353CC}">
              <c16:uniqueId val="{0000000F-3B8E-4B69-8752-86DE6E81F5C3}"/>
            </c:ext>
          </c:extLst>
        </c:ser>
        <c:ser>
          <c:idx val="5"/>
          <c:order val="5"/>
          <c:tx>
            <c:v>Modelos_ME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Resumen!$I$179:$I$184</c:f>
              <c:numCache>
                <c:formatCode>0.00%</c:formatCode>
                <c:ptCount val="6"/>
                <c:pt idx="0">
                  <c:v>0.59294117647058808</c:v>
                </c:pt>
                <c:pt idx="1">
                  <c:v>0.79999999999999993</c:v>
                </c:pt>
                <c:pt idx="2">
                  <c:v>0.26666666666666666</c:v>
                </c:pt>
                <c:pt idx="3">
                  <c:v>0</c:v>
                </c:pt>
                <c:pt idx="4">
                  <c:v>0</c:v>
                </c:pt>
                <c:pt idx="5">
                  <c:v>0</c:v>
                </c:pt>
              </c:numCache>
            </c:numRef>
          </c:val>
          <c:extLst>
            <c:ext xmlns:c16="http://schemas.microsoft.com/office/drawing/2014/chart" uri="{C3380CC4-5D6E-409C-BE32-E72D297353CC}">
              <c16:uniqueId val="{00000010-3B8E-4B69-8752-86DE6E81F5C3}"/>
            </c:ext>
          </c:extLst>
        </c:ser>
        <c:ser>
          <c:idx val="6"/>
          <c:order val="6"/>
          <c:tx>
            <c:v>Cronograma_ME</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Resumen!$J$179:$J$184</c:f>
              <c:numCache>
                <c:formatCode>0.00%</c:formatCode>
                <c:ptCount val="6"/>
                <c:pt idx="0">
                  <c:v>1</c:v>
                </c:pt>
                <c:pt idx="1">
                  <c:v>0.8</c:v>
                </c:pt>
                <c:pt idx="2">
                  <c:v>0.1</c:v>
                </c:pt>
                <c:pt idx="3">
                  <c:v>0</c:v>
                </c:pt>
                <c:pt idx="4">
                  <c:v>0</c:v>
                </c:pt>
                <c:pt idx="5">
                  <c:v>0</c:v>
                </c:pt>
              </c:numCache>
            </c:numRef>
          </c:val>
          <c:extLst>
            <c:ext xmlns:c16="http://schemas.microsoft.com/office/drawing/2014/chart" uri="{C3380CC4-5D6E-409C-BE32-E72D297353CC}">
              <c16:uniqueId val="{00000011-3B8E-4B69-8752-86DE6E81F5C3}"/>
            </c:ext>
          </c:extLst>
        </c:ser>
        <c:ser>
          <c:idx val="7"/>
          <c:order val="7"/>
          <c:tx>
            <c:v>TOTAL %</c:v>
          </c:tx>
          <c:invertIfNegative val="0"/>
          <c:cat>
            <c:strRef>
              <c:f>Resumen!$B$179:$B$184</c:f>
              <c:strCache>
                <c:ptCount val="6"/>
                <c:pt idx="0">
                  <c:v>Chorrera-El Torno</c:v>
                </c:pt>
                <c:pt idx="1">
                  <c:v>Justo Arosemena</c:v>
                </c:pt>
                <c:pt idx="2">
                  <c:v>Llanos Sanchez-Pocrí</c:v>
                </c:pt>
                <c:pt idx="3">
                  <c:v>Panamá III- La Floresta</c:v>
                </c:pt>
                <c:pt idx="4">
                  <c:v>Santiago II</c:v>
                </c:pt>
                <c:pt idx="5">
                  <c:v>El Coco II</c:v>
                </c:pt>
              </c:strCache>
            </c:strRef>
          </c:cat>
          <c:val>
            <c:numRef>
              <c:f>Resumen!$K$179:$K$184</c:f>
              <c:numCache>
                <c:formatCode>0.00%</c:formatCode>
                <c:ptCount val="6"/>
                <c:pt idx="0">
                  <c:v>0.82756302521008407</c:v>
                </c:pt>
                <c:pt idx="1">
                  <c:v>0.79999999999999993</c:v>
                </c:pt>
                <c:pt idx="2">
                  <c:v>0.26666666666666666</c:v>
                </c:pt>
                <c:pt idx="3">
                  <c:v>0</c:v>
                </c:pt>
                <c:pt idx="4">
                  <c:v>0</c:v>
                </c:pt>
                <c:pt idx="5">
                  <c:v>0</c:v>
                </c:pt>
              </c:numCache>
            </c:numRef>
          </c:val>
          <c:extLst>
            <c:ext xmlns:c16="http://schemas.microsoft.com/office/drawing/2014/chart" uri="{C3380CC4-5D6E-409C-BE32-E72D297353CC}">
              <c16:uniqueId val="{00000012-3B8E-4B69-8752-86DE6E81F5C3}"/>
            </c:ext>
          </c:extLst>
        </c:ser>
        <c:dLbls>
          <c:showLegendKey val="0"/>
          <c:showVal val="0"/>
          <c:showCatName val="0"/>
          <c:showSerName val="0"/>
          <c:showPercent val="0"/>
          <c:showBubbleSize val="0"/>
        </c:dLbls>
        <c:gapWidth val="150"/>
        <c:axId val="800051536"/>
        <c:axId val="800049136"/>
      </c:barChart>
      <c:catAx>
        <c:axId val="800051536"/>
        <c:scaling>
          <c:orientation val="minMax"/>
        </c:scaling>
        <c:delete val="0"/>
        <c:axPos val="b"/>
        <c:numFmt formatCode="General" sourceLinked="1"/>
        <c:majorTickMark val="out"/>
        <c:minorTickMark val="none"/>
        <c:tickLblPos val="nextTo"/>
        <c:txPr>
          <a:bodyPr rot="0" vert="horz"/>
          <a:lstStyle/>
          <a:p>
            <a:pPr>
              <a:defRPr/>
            </a:pPr>
            <a:endParaRPr lang="es-CO"/>
          </a:p>
        </c:txPr>
        <c:crossAx val="800049136"/>
        <c:crosses val="autoZero"/>
        <c:auto val="1"/>
        <c:lblAlgn val="ctr"/>
        <c:lblOffset val="100"/>
        <c:noMultiLvlLbl val="0"/>
      </c:catAx>
      <c:valAx>
        <c:axId val="800049136"/>
        <c:scaling>
          <c:orientation val="minMax"/>
        </c:scaling>
        <c:delete val="0"/>
        <c:axPos val="l"/>
        <c:majorGridlines/>
        <c:numFmt formatCode="0.00%" sourceLinked="1"/>
        <c:majorTickMark val="out"/>
        <c:minorTickMark val="none"/>
        <c:tickLblPos val="nextTo"/>
        <c:crossAx val="80005153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88</xdr:row>
      <xdr:rowOff>25400</xdr:rowOff>
    </xdr:from>
    <xdr:to>
      <xdr:col>12</xdr:col>
      <xdr:colOff>0</xdr:colOff>
      <xdr:row>103</xdr:row>
      <xdr:rowOff>86360</xdr:rowOff>
    </xdr:to>
    <xdr:graphicFrame macro="">
      <xdr:nvGraphicFramePr>
        <xdr:cNvPr id="7" name="Chart_Tabla5">
          <a:extLst>
            <a:ext uri="{FF2B5EF4-FFF2-40B4-BE49-F238E27FC236}">
              <a16:creationId xmlns:a16="http://schemas.microsoft.com/office/drawing/2014/main" id="{4D46E640-AD3D-76E5-F347-765B798286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112</xdr:row>
      <xdr:rowOff>25400</xdr:rowOff>
    </xdr:from>
    <xdr:to>
      <xdr:col>12</xdr:col>
      <xdr:colOff>0</xdr:colOff>
      <xdr:row>127</xdr:row>
      <xdr:rowOff>86360</xdr:rowOff>
    </xdr:to>
    <xdr:graphicFrame macro="">
      <xdr:nvGraphicFramePr>
        <xdr:cNvPr id="8" name="Chart_Tabla4">
          <a:extLst>
            <a:ext uri="{FF2B5EF4-FFF2-40B4-BE49-F238E27FC236}">
              <a16:creationId xmlns:a16="http://schemas.microsoft.com/office/drawing/2014/main" id="{3C5EC6B0-0B76-E667-746E-14CF17831E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136</xdr:row>
      <xdr:rowOff>25400</xdr:rowOff>
    </xdr:from>
    <xdr:to>
      <xdr:col>12</xdr:col>
      <xdr:colOff>0</xdr:colOff>
      <xdr:row>151</xdr:row>
      <xdr:rowOff>86360</xdr:rowOff>
    </xdr:to>
    <xdr:graphicFrame macro="">
      <xdr:nvGraphicFramePr>
        <xdr:cNvPr id="9" name="Chart_Tabla1">
          <a:extLst>
            <a:ext uri="{FF2B5EF4-FFF2-40B4-BE49-F238E27FC236}">
              <a16:creationId xmlns:a16="http://schemas.microsoft.com/office/drawing/2014/main" id="{48A55E76-528A-6132-4D5B-D1542E1D8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160</xdr:row>
      <xdr:rowOff>25401</xdr:rowOff>
    </xdr:from>
    <xdr:to>
      <xdr:col>12</xdr:col>
      <xdr:colOff>0</xdr:colOff>
      <xdr:row>175</xdr:row>
      <xdr:rowOff>86361</xdr:rowOff>
    </xdr:to>
    <xdr:graphicFrame macro="">
      <xdr:nvGraphicFramePr>
        <xdr:cNvPr id="10" name="Chart_Tabla2">
          <a:extLst>
            <a:ext uri="{FF2B5EF4-FFF2-40B4-BE49-F238E27FC236}">
              <a16:creationId xmlns:a16="http://schemas.microsoft.com/office/drawing/2014/main" id="{B58DD717-F880-9B85-292C-08DCE42AEC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184</xdr:row>
      <xdr:rowOff>25399</xdr:rowOff>
    </xdr:from>
    <xdr:to>
      <xdr:col>12</xdr:col>
      <xdr:colOff>0</xdr:colOff>
      <xdr:row>199</xdr:row>
      <xdr:rowOff>86359</xdr:rowOff>
    </xdr:to>
    <xdr:graphicFrame macro="">
      <xdr:nvGraphicFramePr>
        <xdr:cNvPr id="11" name="Chart_Tabla3">
          <a:extLst>
            <a:ext uri="{FF2B5EF4-FFF2-40B4-BE49-F238E27FC236}">
              <a16:creationId xmlns:a16="http://schemas.microsoft.com/office/drawing/2014/main" id="{E6402D40-B149-B606-2B4E-3E3875C392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1D131-240E-4AD8-A072-95E4C4861A2A}">
  <sheetPr codeName="Hoja1"/>
  <dimension ref="B1:M417"/>
  <sheetViews>
    <sheetView tabSelected="1" zoomScale="85" zoomScaleNormal="85" workbookViewId="0">
      <selection activeCell="E25" sqref="E25"/>
    </sheetView>
  </sheetViews>
  <sheetFormatPr baseColWidth="10" defaultColWidth="9.140625" defaultRowHeight="15" x14ac:dyDescent="0.25"/>
  <cols>
    <col min="1" max="1" width="2.5703125" style="7" customWidth="1"/>
    <col min="2" max="2" width="20" style="11" bestFit="1" customWidth="1"/>
    <col min="3" max="3" width="17.85546875" bestFit="1" customWidth="1"/>
    <col min="4" max="4" width="17.85546875" customWidth="1"/>
    <col min="5" max="5" width="55.7109375" bestFit="1" customWidth="1"/>
    <col min="6" max="6" width="15.7109375" style="4" customWidth="1"/>
    <col min="7" max="7" width="14" customWidth="1"/>
    <col min="8" max="8" width="9.140625" style="4" customWidth="1"/>
    <col min="9" max="9" width="14.28515625" style="50" customWidth="1"/>
    <col min="10" max="10" width="21.5703125" style="4" bestFit="1" customWidth="1"/>
    <col min="11" max="12" width="15.140625" style="4" hidden="1" customWidth="1"/>
    <col min="13" max="13" width="81.7109375" style="4" bestFit="1" customWidth="1"/>
    <col min="14" max="14" width="21.28515625" style="7" bestFit="1" customWidth="1"/>
    <col min="15" max="16" width="12.28515625" style="7" bestFit="1" customWidth="1"/>
    <col min="17" max="17" width="13.5703125" style="7" bestFit="1" customWidth="1"/>
    <col min="18" max="18" width="23.7109375" style="7" bestFit="1" customWidth="1"/>
    <col min="19" max="19" width="16.42578125" style="7" bestFit="1" customWidth="1"/>
    <col min="20" max="20" width="13.7109375" style="7" bestFit="1" customWidth="1"/>
    <col min="21" max="21" width="11.5703125" style="7" bestFit="1" customWidth="1"/>
    <col min="22" max="22" width="19.42578125" style="7" bestFit="1" customWidth="1"/>
    <col min="23" max="23" width="20.7109375" style="7" bestFit="1" customWidth="1"/>
    <col min="24" max="24" width="14.7109375" style="7" bestFit="1" customWidth="1"/>
    <col min="25" max="25" width="10.7109375" style="7" bestFit="1" customWidth="1"/>
    <col min="26" max="26" width="14.85546875" style="7" bestFit="1" customWidth="1"/>
    <col min="27" max="27" width="21.28515625" style="7" bestFit="1" customWidth="1"/>
    <col min="28" max="28" width="15.28515625" style="7" bestFit="1" customWidth="1"/>
    <col min="29" max="29" width="15.5703125" style="7" bestFit="1" customWidth="1"/>
    <col min="30" max="30" width="13.7109375" style="7" bestFit="1" customWidth="1"/>
    <col min="31" max="31" width="16.7109375" style="7" bestFit="1" customWidth="1"/>
    <col min="32" max="32" width="11.28515625" style="7" bestFit="1" customWidth="1"/>
    <col min="33" max="33" width="12.140625" style="7" bestFit="1" customWidth="1"/>
    <col min="34" max="34" width="14.7109375" style="7" bestFit="1" customWidth="1"/>
    <col min="35" max="35" width="21.5703125" style="7" bestFit="1" customWidth="1"/>
    <col min="36" max="36" width="14.7109375" style="7" bestFit="1" customWidth="1"/>
    <col min="37" max="37" width="8.5703125" style="7" bestFit="1" customWidth="1"/>
    <col min="38" max="38" width="18.140625" style="7" bestFit="1" customWidth="1"/>
    <col min="39" max="39" width="19.5703125" style="7" bestFit="1" customWidth="1"/>
    <col min="40" max="40" width="13.140625" style="7" bestFit="1" customWidth="1"/>
    <col min="41" max="16384" width="9.140625" style="7"/>
  </cols>
  <sheetData>
    <row r="1" spans="2:13" x14ac:dyDescent="0.25">
      <c r="B1" s="78" t="s">
        <v>0</v>
      </c>
      <c r="C1" s="79"/>
      <c r="D1" s="79"/>
      <c r="E1" s="79"/>
      <c r="F1" s="79"/>
      <c r="G1" s="79"/>
      <c r="H1" s="79"/>
      <c r="I1" s="79"/>
      <c r="J1" s="79"/>
      <c r="K1" s="79"/>
      <c r="L1" s="79"/>
      <c r="M1" s="80"/>
    </row>
    <row r="2" spans="2:13" s="6" customFormat="1" x14ac:dyDescent="0.25">
      <c r="B2" s="27" t="s">
        <v>1</v>
      </c>
      <c r="C2" s="27" t="s">
        <v>2</v>
      </c>
      <c r="D2" s="27" t="s">
        <v>3</v>
      </c>
      <c r="E2" s="27" t="s">
        <v>4</v>
      </c>
      <c r="F2" s="27" t="s">
        <v>5</v>
      </c>
      <c r="G2" s="27" t="s">
        <v>6</v>
      </c>
      <c r="H2" s="27" t="s">
        <v>7</v>
      </c>
      <c r="I2" s="48" t="s">
        <v>8</v>
      </c>
      <c r="J2" s="27" t="s">
        <v>9</v>
      </c>
      <c r="K2" s="27" t="s">
        <v>10</v>
      </c>
      <c r="L2" s="27" t="s">
        <v>11</v>
      </c>
      <c r="M2" s="27" t="s">
        <v>12</v>
      </c>
    </row>
    <row r="3" spans="2:13" x14ac:dyDescent="0.25">
      <c r="B3" s="28" t="s">
        <v>13</v>
      </c>
      <c r="C3" s="8" t="s">
        <v>14</v>
      </c>
      <c r="D3" s="8" t="s">
        <v>14</v>
      </c>
      <c r="E3" s="29" t="s">
        <v>15</v>
      </c>
      <c r="F3" s="30"/>
      <c r="G3" s="29"/>
      <c r="H3" s="30">
        <v>137</v>
      </c>
      <c r="I3" s="49">
        <v>1</v>
      </c>
      <c r="J3" s="30" t="s">
        <v>16</v>
      </c>
      <c r="K3" s="16">
        <v>46056</v>
      </c>
      <c r="L3" s="16">
        <v>46065</v>
      </c>
      <c r="M3" s="54" t="s">
        <v>17</v>
      </c>
    </row>
    <row r="4" spans="2:13" x14ac:dyDescent="0.25">
      <c r="B4" s="28" t="s">
        <v>13</v>
      </c>
      <c r="C4" s="8" t="s">
        <v>14</v>
      </c>
      <c r="D4" s="8" t="s">
        <v>14</v>
      </c>
      <c r="E4" s="29" t="s">
        <v>18</v>
      </c>
      <c r="F4" s="30"/>
      <c r="G4" s="29"/>
      <c r="H4" s="30">
        <v>137</v>
      </c>
      <c r="I4" s="49">
        <v>1</v>
      </c>
      <c r="J4" s="30" t="s">
        <v>16</v>
      </c>
      <c r="K4" s="16">
        <v>46056</v>
      </c>
      <c r="L4" s="16">
        <v>46065</v>
      </c>
      <c r="M4" s="54" t="s">
        <v>19</v>
      </c>
    </row>
    <row r="5" spans="2:13" x14ac:dyDescent="0.25">
      <c r="B5" s="28" t="s">
        <v>13</v>
      </c>
      <c r="C5" s="8" t="s">
        <v>14</v>
      </c>
      <c r="D5" s="8" t="s">
        <v>14</v>
      </c>
      <c r="E5" s="29" t="s">
        <v>20</v>
      </c>
      <c r="F5" s="30"/>
      <c r="G5" s="29"/>
      <c r="H5" s="30">
        <v>137</v>
      </c>
      <c r="I5" s="49">
        <v>1</v>
      </c>
      <c r="J5" s="30" t="s">
        <v>16</v>
      </c>
      <c r="K5" s="16">
        <v>46056</v>
      </c>
      <c r="L5" s="16">
        <v>46065</v>
      </c>
      <c r="M5" s="30"/>
    </row>
    <row r="6" spans="2:13" x14ac:dyDescent="0.25">
      <c r="B6" s="28" t="s">
        <v>13</v>
      </c>
      <c r="C6" s="8" t="s">
        <v>14</v>
      </c>
      <c r="D6" s="8" t="s">
        <v>14</v>
      </c>
      <c r="E6" s="29" t="s">
        <v>21</v>
      </c>
      <c r="F6" s="30"/>
      <c r="G6" s="29"/>
      <c r="H6" s="30">
        <v>137</v>
      </c>
      <c r="I6" s="49">
        <v>1</v>
      </c>
      <c r="J6" s="30" t="s">
        <v>16</v>
      </c>
      <c r="K6" s="16">
        <v>46056</v>
      </c>
      <c r="L6" s="16">
        <v>46065</v>
      </c>
      <c r="M6" s="30"/>
    </row>
    <row r="7" spans="2:13" x14ac:dyDescent="0.25">
      <c r="B7" s="28" t="s">
        <v>13</v>
      </c>
      <c r="C7" s="8" t="s">
        <v>14</v>
      </c>
      <c r="D7" s="8" t="s">
        <v>14</v>
      </c>
      <c r="E7" s="29" t="s">
        <v>22</v>
      </c>
      <c r="F7" s="30"/>
      <c r="G7" s="29"/>
      <c r="H7" s="30">
        <v>137</v>
      </c>
      <c r="I7" s="49">
        <v>1</v>
      </c>
      <c r="J7" s="30" t="s">
        <v>16</v>
      </c>
      <c r="K7" s="16">
        <v>46056</v>
      </c>
      <c r="L7" s="16">
        <v>46065</v>
      </c>
      <c r="M7" s="30"/>
    </row>
    <row r="8" spans="2:13" x14ac:dyDescent="0.25">
      <c r="B8" s="28" t="s">
        <v>13</v>
      </c>
      <c r="C8" s="29" t="s">
        <v>23</v>
      </c>
      <c r="D8" s="29" t="s">
        <v>24</v>
      </c>
      <c r="E8" s="29" t="s">
        <v>25</v>
      </c>
      <c r="F8" s="29"/>
      <c r="G8" s="29"/>
      <c r="H8" s="30">
        <v>156</v>
      </c>
      <c r="I8" s="49">
        <v>1</v>
      </c>
      <c r="J8" s="30" t="s">
        <v>26</v>
      </c>
      <c r="K8" s="16">
        <v>46056</v>
      </c>
      <c r="L8" s="14"/>
      <c r="M8" s="30" t="s">
        <v>27</v>
      </c>
    </row>
    <row r="9" spans="2:13" x14ac:dyDescent="0.25">
      <c r="B9" s="28" t="s">
        <v>13</v>
      </c>
      <c r="C9" s="29" t="s">
        <v>23</v>
      </c>
      <c r="D9" s="29" t="s">
        <v>28</v>
      </c>
      <c r="E9" s="29" t="s">
        <v>29</v>
      </c>
      <c r="F9" s="29"/>
      <c r="G9" s="29"/>
      <c r="H9" s="30">
        <v>157</v>
      </c>
      <c r="I9" s="49">
        <v>1</v>
      </c>
      <c r="J9" s="30" t="s">
        <v>30</v>
      </c>
      <c r="K9" s="16">
        <v>46090</v>
      </c>
      <c r="L9" s="14"/>
      <c r="M9" s="30" t="s">
        <v>31</v>
      </c>
    </row>
    <row r="10" spans="2:13" x14ac:dyDescent="0.25">
      <c r="B10" s="28" t="s">
        <v>13</v>
      </c>
      <c r="C10" s="29" t="s">
        <v>23</v>
      </c>
      <c r="D10" s="29" t="s">
        <v>32</v>
      </c>
      <c r="E10" s="29" t="s">
        <v>33</v>
      </c>
      <c r="F10" s="29"/>
      <c r="G10" s="29"/>
      <c r="H10" s="30">
        <v>155</v>
      </c>
      <c r="I10" s="49">
        <v>1</v>
      </c>
      <c r="J10" s="30" t="s">
        <v>30</v>
      </c>
      <c r="K10" s="16">
        <v>46056</v>
      </c>
      <c r="L10" s="14"/>
      <c r="M10" s="30" t="s">
        <v>34</v>
      </c>
    </row>
    <row r="11" spans="2:13" x14ac:dyDescent="0.25">
      <c r="B11" s="28" t="s">
        <v>13</v>
      </c>
      <c r="C11" s="29" t="s">
        <v>23</v>
      </c>
      <c r="D11" s="29" t="s">
        <v>32</v>
      </c>
      <c r="E11" s="29" t="s">
        <v>35</v>
      </c>
      <c r="F11" s="29"/>
      <c r="G11" s="29"/>
      <c r="H11" s="30">
        <v>155</v>
      </c>
      <c r="I11" s="49">
        <v>1</v>
      </c>
      <c r="J11" s="30" t="s">
        <v>30</v>
      </c>
      <c r="K11" s="16">
        <v>46056</v>
      </c>
      <c r="L11" s="14"/>
      <c r="M11" s="30" t="s">
        <v>36</v>
      </c>
    </row>
    <row r="12" spans="2:13" x14ac:dyDescent="0.25">
      <c r="B12" s="28" t="s">
        <v>13</v>
      </c>
      <c r="C12" s="29" t="s">
        <v>23</v>
      </c>
      <c r="D12" s="29" t="s">
        <v>32</v>
      </c>
      <c r="E12" s="29" t="s">
        <v>37</v>
      </c>
      <c r="F12" s="29"/>
      <c r="G12" s="29"/>
      <c r="H12" s="30">
        <v>155</v>
      </c>
      <c r="I12" s="49">
        <v>1</v>
      </c>
      <c r="J12" s="30" t="s">
        <v>30</v>
      </c>
      <c r="K12" s="16">
        <v>46056</v>
      </c>
      <c r="L12" s="14"/>
      <c r="M12" s="30" t="s">
        <v>36</v>
      </c>
    </row>
    <row r="13" spans="2:13" x14ac:dyDescent="0.25">
      <c r="B13" s="28" t="s">
        <v>13</v>
      </c>
      <c r="C13" s="29" t="s">
        <v>23</v>
      </c>
      <c r="D13" s="29" t="s">
        <v>32</v>
      </c>
      <c r="E13" s="29" t="s">
        <v>38</v>
      </c>
      <c r="F13" s="29"/>
      <c r="G13" s="29"/>
      <c r="H13" s="30">
        <v>155</v>
      </c>
      <c r="I13" s="49">
        <v>1</v>
      </c>
      <c r="J13" s="30" t="s">
        <v>30</v>
      </c>
      <c r="K13" s="16">
        <v>46056</v>
      </c>
      <c r="L13" s="14"/>
      <c r="M13" s="30" t="s">
        <v>34</v>
      </c>
    </row>
    <row r="14" spans="2:13" x14ac:dyDescent="0.25">
      <c r="B14" s="28" t="s">
        <v>13</v>
      </c>
      <c r="C14" s="29" t="s">
        <v>23</v>
      </c>
      <c r="D14" s="29" t="s">
        <v>39</v>
      </c>
      <c r="E14" s="29" t="s">
        <v>40</v>
      </c>
      <c r="F14" s="29"/>
      <c r="G14" s="29"/>
      <c r="H14" s="30">
        <v>150</v>
      </c>
      <c r="I14" s="49">
        <v>1</v>
      </c>
      <c r="J14" s="30" t="s">
        <v>30</v>
      </c>
      <c r="K14" s="16">
        <v>46098</v>
      </c>
      <c r="L14" s="16"/>
      <c r="M14" s="30" t="s">
        <v>41</v>
      </c>
    </row>
    <row r="15" spans="2:13" x14ac:dyDescent="0.25">
      <c r="B15" s="28" t="s">
        <v>13</v>
      </c>
      <c r="C15" s="29" t="s">
        <v>23</v>
      </c>
      <c r="D15" s="29" t="s">
        <v>39</v>
      </c>
      <c r="E15" s="29" t="s">
        <v>42</v>
      </c>
      <c r="F15" s="29"/>
      <c r="G15" s="29"/>
      <c r="H15" s="30">
        <v>150</v>
      </c>
      <c r="I15" s="49">
        <v>1</v>
      </c>
      <c r="J15" s="30" t="s">
        <v>30</v>
      </c>
      <c r="K15" s="16">
        <v>46098</v>
      </c>
      <c r="L15" s="16"/>
      <c r="M15" s="30" t="s">
        <v>41</v>
      </c>
    </row>
    <row r="16" spans="2:13" x14ac:dyDescent="0.25">
      <c r="B16" s="28" t="s">
        <v>13</v>
      </c>
      <c r="C16" s="29" t="s">
        <v>23</v>
      </c>
      <c r="D16" s="29" t="s">
        <v>43</v>
      </c>
      <c r="E16" s="29" t="s">
        <v>44</v>
      </c>
      <c r="F16" s="29"/>
      <c r="G16" s="29"/>
      <c r="H16" s="30">
        <v>147</v>
      </c>
      <c r="I16" s="49">
        <v>1</v>
      </c>
      <c r="J16" s="30" t="s">
        <v>16</v>
      </c>
      <c r="K16" s="16">
        <v>46056</v>
      </c>
      <c r="L16" s="16">
        <v>46079</v>
      </c>
      <c r="M16" s="30"/>
    </row>
    <row r="17" spans="2:13" x14ac:dyDescent="0.25">
      <c r="B17" s="28" t="s">
        <v>13</v>
      </c>
      <c r="C17" s="29" t="s">
        <v>23</v>
      </c>
      <c r="D17" s="29" t="s">
        <v>45</v>
      </c>
      <c r="E17" s="29" t="s">
        <v>46</v>
      </c>
      <c r="F17" s="29"/>
      <c r="G17" s="29"/>
      <c r="H17" s="30">
        <v>145</v>
      </c>
      <c r="I17" s="49">
        <v>1</v>
      </c>
      <c r="J17" s="30" t="s">
        <v>16</v>
      </c>
      <c r="K17" s="16">
        <v>46056</v>
      </c>
      <c r="L17" s="16">
        <v>46084</v>
      </c>
      <c r="M17" s="30"/>
    </row>
    <row r="18" spans="2:13" x14ac:dyDescent="0.25">
      <c r="B18" s="28" t="s">
        <v>13</v>
      </c>
      <c r="C18" s="29" t="s">
        <v>23</v>
      </c>
      <c r="D18" s="29" t="s">
        <v>45</v>
      </c>
      <c r="E18" s="29" t="s">
        <v>47</v>
      </c>
      <c r="F18" s="29"/>
      <c r="G18" s="29"/>
      <c r="H18" s="30">
        <v>145</v>
      </c>
      <c r="I18" s="49">
        <v>1</v>
      </c>
      <c r="J18" s="30" t="s">
        <v>16</v>
      </c>
      <c r="K18" s="16">
        <v>46056</v>
      </c>
      <c r="L18" s="16">
        <v>46084</v>
      </c>
      <c r="M18" s="30"/>
    </row>
    <row r="19" spans="2:13" x14ac:dyDescent="0.25">
      <c r="B19" s="28" t="s">
        <v>13</v>
      </c>
      <c r="C19" s="29" t="s">
        <v>23</v>
      </c>
      <c r="D19" s="29" t="s">
        <v>45</v>
      </c>
      <c r="E19" s="29" t="s">
        <v>48</v>
      </c>
      <c r="F19" s="29"/>
      <c r="G19" s="29"/>
      <c r="H19" s="30">
        <v>145</v>
      </c>
      <c r="I19" s="49">
        <v>1</v>
      </c>
      <c r="J19" s="30" t="s">
        <v>16</v>
      </c>
      <c r="K19" s="16">
        <v>46056</v>
      </c>
      <c r="L19" s="16">
        <v>46084</v>
      </c>
      <c r="M19" s="30"/>
    </row>
    <row r="20" spans="2:13" x14ac:dyDescent="0.25">
      <c r="B20" s="28" t="s">
        <v>13</v>
      </c>
      <c r="C20" s="29" t="s">
        <v>23</v>
      </c>
      <c r="D20" s="29" t="s">
        <v>45</v>
      </c>
      <c r="E20" s="29" t="s">
        <v>49</v>
      </c>
      <c r="F20" s="29"/>
      <c r="G20" s="29"/>
      <c r="H20" s="30">
        <v>145</v>
      </c>
      <c r="I20" s="49">
        <v>1</v>
      </c>
      <c r="J20" s="30" t="s">
        <v>16</v>
      </c>
      <c r="K20" s="16">
        <v>46056</v>
      </c>
      <c r="L20" s="16">
        <v>46084</v>
      </c>
      <c r="M20" s="30"/>
    </row>
    <row r="21" spans="2:13" x14ac:dyDescent="0.25">
      <c r="B21" s="28" t="s">
        <v>13</v>
      </c>
      <c r="C21" s="29" t="s">
        <v>23</v>
      </c>
      <c r="D21" s="29" t="s">
        <v>50</v>
      </c>
      <c r="E21" s="29" t="s">
        <v>51</v>
      </c>
      <c r="F21" s="29"/>
      <c r="G21" s="29"/>
      <c r="H21" s="30">
        <v>151</v>
      </c>
      <c r="I21" s="49">
        <v>0.7</v>
      </c>
      <c r="J21" s="30" t="s">
        <v>30</v>
      </c>
      <c r="K21" s="16">
        <v>46057</v>
      </c>
      <c r="L21" s="16">
        <v>46084</v>
      </c>
      <c r="M21" s="14"/>
    </row>
    <row r="22" spans="2:13" x14ac:dyDescent="0.25">
      <c r="B22" s="28" t="s">
        <v>13</v>
      </c>
      <c r="C22" s="29" t="s">
        <v>23</v>
      </c>
      <c r="D22" s="29" t="s">
        <v>50</v>
      </c>
      <c r="E22" s="29" t="s">
        <v>52</v>
      </c>
      <c r="F22" s="29"/>
      <c r="G22" s="29"/>
      <c r="H22" s="30">
        <v>151</v>
      </c>
      <c r="I22" s="49">
        <v>0.7</v>
      </c>
      <c r="J22" s="30" t="s">
        <v>30</v>
      </c>
      <c r="K22" s="16">
        <v>46057</v>
      </c>
      <c r="L22" s="16">
        <v>46084</v>
      </c>
      <c r="M22" s="30"/>
    </row>
    <row r="23" spans="2:13" x14ac:dyDescent="0.25">
      <c r="B23" s="28" t="s">
        <v>13</v>
      </c>
      <c r="C23" s="29" t="s">
        <v>23</v>
      </c>
      <c r="D23" s="29" t="s">
        <v>50</v>
      </c>
      <c r="E23" s="29" t="s">
        <v>53</v>
      </c>
      <c r="F23" s="29"/>
      <c r="G23" s="29"/>
      <c r="H23" s="30">
        <v>151</v>
      </c>
      <c r="I23" s="49">
        <v>0.7</v>
      </c>
      <c r="J23" s="30" t="s">
        <v>30</v>
      </c>
      <c r="K23" s="16">
        <v>46057</v>
      </c>
      <c r="L23" s="16">
        <v>46084</v>
      </c>
      <c r="M23" s="30"/>
    </row>
    <row r="24" spans="2:13" x14ac:dyDescent="0.25">
      <c r="B24" s="28" t="s">
        <v>13</v>
      </c>
      <c r="C24" s="29" t="s">
        <v>23</v>
      </c>
      <c r="D24" s="29" t="s">
        <v>50</v>
      </c>
      <c r="E24" s="29" t="s">
        <v>54</v>
      </c>
      <c r="F24" s="29"/>
      <c r="G24" s="29"/>
      <c r="H24" s="30">
        <v>151</v>
      </c>
      <c r="I24" s="49">
        <v>0.7</v>
      </c>
      <c r="J24" s="30" t="s">
        <v>30</v>
      </c>
      <c r="K24" s="16">
        <v>46057</v>
      </c>
      <c r="L24" s="16">
        <v>46084</v>
      </c>
      <c r="M24" s="30"/>
    </row>
    <row r="25" spans="2:13" x14ac:dyDescent="0.25">
      <c r="B25" s="28" t="s">
        <v>13</v>
      </c>
      <c r="C25" s="29" t="s">
        <v>23</v>
      </c>
      <c r="D25" s="29" t="s">
        <v>50</v>
      </c>
      <c r="E25" s="29" t="s">
        <v>55</v>
      </c>
      <c r="F25" s="29"/>
      <c r="G25" s="29"/>
      <c r="H25" s="30">
        <v>151</v>
      </c>
      <c r="I25" s="49">
        <v>0.7</v>
      </c>
      <c r="J25" s="30" t="s">
        <v>30</v>
      </c>
      <c r="K25" s="16">
        <v>46057</v>
      </c>
      <c r="L25" s="16">
        <v>46084</v>
      </c>
      <c r="M25" s="30"/>
    </row>
    <row r="26" spans="2:13" x14ac:dyDescent="0.25">
      <c r="B26" s="28" t="s">
        <v>13</v>
      </c>
      <c r="C26" s="29" t="s">
        <v>23</v>
      </c>
      <c r="D26" s="29" t="s">
        <v>50</v>
      </c>
      <c r="E26" s="29" t="s">
        <v>56</v>
      </c>
      <c r="F26" s="29"/>
      <c r="G26" s="29"/>
      <c r="H26" s="30">
        <v>151</v>
      </c>
      <c r="I26" s="49">
        <v>0.7</v>
      </c>
      <c r="J26" s="30" t="s">
        <v>30</v>
      </c>
      <c r="K26" s="16">
        <v>46057</v>
      </c>
      <c r="L26" s="16">
        <v>46084</v>
      </c>
      <c r="M26" s="30"/>
    </row>
    <row r="27" spans="2:13" x14ac:dyDescent="0.25">
      <c r="B27" s="28" t="s">
        <v>13</v>
      </c>
      <c r="C27" s="29" t="s">
        <v>23</v>
      </c>
      <c r="D27" s="29" t="s">
        <v>50</v>
      </c>
      <c r="E27" s="29" t="s">
        <v>57</v>
      </c>
      <c r="F27" s="29"/>
      <c r="G27" s="29"/>
      <c r="H27" s="30">
        <v>151</v>
      </c>
      <c r="I27" s="49">
        <v>0.7</v>
      </c>
      <c r="J27" s="30" t="s">
        <v>30</v>
      </c>
      <c r="K27" s="16">
        <v>46057</v>
      </c>
      <c r="L27" s="16">
        <v>46084</v>
      </c>
      <c r="M27" s="30"/>
    </row>
    <row r="28" spans="2:13" x14ac:dyDescent="0.25">
      <c r="B28" s="28" t="s">
        <v>13</v>
      </c>
      <c r="C28" s="29" t="s">
        <v>23</v>
      </c>
      <c r="D28" s="29" t="s">
        <v>50</v>
      </c>
      <c r="E28" s="29" t="s">
        <v>58</v>
      </c>
      <c r="F28" s="29"/>
      <c r="G28" s="29"/>
      <c r="H28" s="30">
        <v>151</v>
      </c>
      <c r="I28" s="49">
        <v>0.7</v>
      </c>
      <c r="J28" s="30" t="s">
        <v>30</v>
      </c>
      <c r="K28" s="16">
        <v>46057</v>
      </c>
      <c r="L28" s="16">
        <v>46084</v>
      </c>
      <c r="M28" s="30"/>
    </row>
    <row r="29" spans="2:13" x14ac:dyDescent="0.25">
      <c r="B29" s="28" t="s">
        <v>13</v>
      </c>
      <c r="C29" s="29" t="s">
        <v>23</v>
      </c>
      <c r="D29" s="29" t="s">
        <v>50</v>
      </c>
      <c r="E29" s="29" t="s">
        <v>59</v>
      </c>
      <c r="F29" s="29"/>
      <c r="G29" s="29"/>
      <c r="H29" s="30">
        <v>151</v>
      </c>
      <c r="I29" s="49">
        <v>0.7</v>
      </c>
      <c r="J29" s="30" t="s">
        <v>30</v>
      </c>
      <c r="K29" s="16">
        <v>46057</v>
      </c>
      <c r="L29" s="16">
        <v>46084</v>
      </c>
      <c r="M29" s="30"/>
    </row>
    <row r="30" spans="2:13" x14ac:dyDescent="0.25">
      <c r="B30" s="28" t="s">
        <v>13</v>
      </c>
      <c r="C30" s="29" t="s">
        <v>23</v>
      </c>
      <c r="D30" s="29" t="s">
        <v>50</v>
      </c>
      <c r="E30" s="29" t="s">
        <v>60</v>
      </c>
      <c r="F30" s="29"/>
      <c r="G30" s="29"/>
      <c r="H30" s="30">
        <v>151</v>
      </c>
      <c r="I30" s="49">
        <v>0.7</v>
      </c>
      <c r="J30" s="30" t="s">
        <v>30</v>
      </c>
      <c r="K30" s="16">
        <v>46057</v>
      </c>
      <c r="L30" s="16">
        <v>46084</v>
      </c>
      <c r="M30" s="30"/>
    </row>
    <row r="31" spans="2:13" x14ac:dyDescent="0.25">
      <c r="B31" s="28" t="s">
        <v>13</v>
      </c>
      <c r="C31" s="29" t="s">
        <v>23</v>
      </c>
      <c r="D31" s="29" t="s">
        <v>50</v>
      </c>
      <c r="E31" s="29" t="s">
        <v>61</v>
      </c>
      <c r="F31" s="29"/>
      <c r="G31" s="29"/>
      <c r="H31" s="30">
        <v>151</v>
      </c>
      <c r="I31" s="49">
        <v>0.7</v>
      </c>
      <c r="J31" s="30" t="s">
        <v>30</v>
      </c>
      <c r="K31" s="16">
        <v>46057</v>
      </c>
      <c r="L31" s="16">
        <v>46084</v>
      </c>
      <c r="M31" s="30"/>
    </row>
    <row r="32" spans="2:13" x14ac:dyDescent="0.25">
      <c r="B32" s="28" t="s">
        <v>13</v>
      </c>
      <c r="C32" s="29" t="s">
        <v>23</v>
      </c>
      <c r="D32" s="29" t="s">
        <v>50</v>
      </c>
      <c r="E32" s="29" t="s">
        <v>62</v>
      </c>
      <c r="F32" s="29"/>
      <c r="G32" s="29"/>
      <c r="H32" s="30">
        <v>151</v>
      </c>
      <c r="I32" s="49">
        <v>0.7</v>
      </c>
      <c r="J32" s="30" t="s">
        <v>30</v>
      </c>
      <c r="K32" s="16">
        <v>46057</v>
      </c>
      <c r="L32" s="16">
        <v>46084</v>
      </c>
      <c r="M32" s="30"/>
    </row>
    <row r="33" spans="2:13" x14ac:dyDescent="0.25">
      <c r="B33" s="28" t="s">
        <v>13</v>
      </c>
      <c r="C33" s="29" t="s">
        <v>23</v>
      </c>
      <c r="D33" s="29" t="s">
        <v>50</v>
      </c>
      <c r="E33" s="29" t="s">
        <v>63</v>
      </c>
      <c r="F33" s="29"/>
      <c r="G33" s="29"/>
      <c r="H33" s="30">
        <v>151</v>
      </c>
      <c r="I33" s="49">
        <v>0.7</v>
      </c>
      <c r="J33" s="30" t="s">
        <v>30</v>
      </c>
      <c r="K33" s="16">
        <v>46057</v>
      </c>
      <c r="L33" s="16">
        <v>46084</v>
      </c>
      <c r="M33" s="30"/>
    </row>
    <row r="34" spans="2:13" x14ac:dyDescent="0.25">
      <c r="B34" s="28" t="s">
        <v>13</v>
      </c>
      <c r="C34" s="29" t="s">
        <v>23</v>
      </c>
      <c r="D34" s="29" t="s">
        <v>50</v>
      </c>
      <c r="E34" s="29" t="s">
        <v>64</v>
      </c>
      <c r="F34" s="29"/>
      <c r="G34" s="29"/>
      <c r="H34" s="30">
        <v>151</v>
      </c>
      <c r="I34" s="49">
        <v>0.7</v>
      </c>
      <c r="J34" s="30" t="s">
        <v>30</v>
      </c>
      <c r="K34" s="16">
        <v>46057</v>
      </c>
      <c r="L34" s="16">
        <v>46084</v>
      </c>
      <c r="M34" s="30"/>
    </row>
    <row r="35" spans="2:13" x14ac:dyDescent="0.25">
      <c r="B35" s="28" t="s">
        <v>13</v>
      </c>
      <c r="C35" s="29" t="s">
        <v>23</v>
      </c>
      <c r="D35" s="29" t="s">
        <v>50</v>
      </c>
      <c r="E35" s="29" t="s">
        <v>65</v>
      </c>
      <c r="F35" s="29"/>
      <c r="G35" s="29"/>
      <c r="H35" s="30">
        <v>151</v>
      </c>
      <c r="I35" s="49">
        <v>0.7</v>
      </c>
      <c r="J35" s="30" t="s">
        <v>30</v>
      </c>
      <c r="K35" s="16">
        <v>46057</v>
      </c>
      <c r="L35" s="16">
        <v>46084</v>
      </c>
      <c r="M35" s="30"/>
    </row>
    <row r="36" spans="2:13" x14ac:dyDescent="0.25">
      <c r="B36" s="28" t="s">
        <v>13</v>
      </c>
      <c r="C36" s="29" t="s">
        <v>23</v>
      </c>
      <c r="D36" s="29" t="s">
        <v>50</v>
      </c>
      <c r="E36" s="29" t="s">
        <v>66</v>
      </c>
      <c r="F36" s="29"/>
      <c r="G36" s="29"/>
      <c r="H36" s="30">
        <v>151</v>
      </c>
      <c r="I36" s="49">
        <v>0.7</v>
      </c>
      <c r="J36" s="30" t="s">
        <v>30</v>
      </c>
      <c r="K36" s="16">
        <v>46057</v>
      </c>
      <c r="L36" s="16">
        <v>46084</v>
      </c>
      <c r="M36" s="30"/>
    </row>
    <row r="37" spans="2:13" x14ac:dyDescent="0.25">
      <c r="B37" s="28" t="s">
        <v>13</v>
      </c>
      <c r="C37" s="29" t="s">
        <v>23</v>
      </c>
      <c r="D37" s="29" t="s">
        <v>50</v>
      </c>
      <c r="E37" s="29" t="s">
        <v>67</v>
      </c>
      <c r="F37" s="29"/>
      <c r="G37" s="29"/>
      <c r="H37" s="30">
        <v>151</v>
      </c>
      <c r="I37" s="49">
        <v>0.7</v>
      </c>
      <c r="J37" s="30" t="s">
        <v>30</v>
      </c>
      <c r="K37" s="16">
        <v>46057</v>
      </c>
      <c r="L37" s="16">
        <v>46084</v>
      </c>
      <c r="M37" s="30" t="s">
        <v>68</v>
      </c>
    </row>
    <row r="38" spans="2:13" x14ac:dyDescent="0.25">
      <c r="B38" s="28" t="s">
        <v>13</v>
      </c>
      <c r="C38" s="29" t="s">
        <v>23</v>
      </c>
      <c r="D38" s="29" t="s">
        <v>50</v>
      </c>
      <c r="E38" s="29" t="s">
        <v>69</v>
      </c>
      <c r="F38" s="29"/>
      <c r="G38" s="29"/>
      <c r="H38" s="30">
        <v>151</v>
      </c>
      <c r="I38" s="49">
        <v>0.7</v>
      </c>
      <c r="J38" s="30" t="s">
        <v>30</v>
      </c>
      <c r="K38" s="16">
        <v>46057</v>
      </c>
      <c r="L38" s="16">
        <v>46084</v>
      </c>
      <c r="M38" s="30"/>
    </row>
    <row r="39" spans="2:13" x14ac:dyDescent="0.25">
      <c r="B39" s="28" t="s">
        <v>13</v>
      </c>
      <c r="C39" s="29" t="s">
        <v>23</v>
      </c>
      <c r="D39" s="29" t="s">
        <v>50</v>
      </c>
      <c r="E39" s="29" t="s">
        <v>70</v>
      </c>
      <c r="F39" s="29"/>
      <c r="G39" s="29"/>
      <c r="H39" s="30">
        <v>151</v>
      </c>
      <c r="I39" s="49">
        <v>0.7</v>
      </c>
      <c r="J39" s="30" t="s">
        <v>30</v>
      </c>
      <c r="K39" s="16">
        <v>46057</v>
      </c>
      <c r="L39" s="16">
        <v>46084</v>
      </c>
      <c r="M39" s="30"/>
    </row>
    <row r="40" spans="2:13" x14ac:dyDescent="0.25">
      <c r="B40" s="28" t="s">
        <v>13</v>
      </c>
      <c r="C40" s="29" t="s">
        <v>23</v>
      </c>
      <c r="D40" s="29" t="s">
        <v>50</v>
      </c>
      <c r="E40" s="29" t="s">
        <v>71</v>
      </c>
      <c r="F40" s="29"/>
      <c r="G40" s="29"/>
      <c r="H40" s="30">
        <v>151</v>
      </c>
      <c r="I40" s="49">
        <v>0.7</v>
      </c>
      <c r="J40" s="30" t="s">
        <v>30</v>
      </c>
      <c r="K40" s="16">
        <v>46057</v>
      </c>
      <c r="L40" s="16">
        <v>46084</v>
      </c>
      <c r="M40" s="30"/>
    </row>
    <row r="41" spans="2:13" x14ac:dyDescent="0.25">
      <c r="B41" s="28" t="s">
        <v>13</v>
      </c>
      <c r="C41" s="29" t="s">
        <v>23</v>
      </c>
      <c r="D41" s="29" t="s">
        <v>50</v>
      </c>
      <c r="E41" s="29" t="s">
        <v>72</v>
      </c>
      <c r="F41" s="29"/>
      <c r="G41" s="29"/>
      <c r="H41" s="30">
        <v>151</v>
      </c>
      <c r="I41" s="49">
        <v>0.7</v>
      </c>
      <c r="J41" s="30" t="s">
        <v>30</v>
      </c>
      <c r="K41" s="16">
        <v>46057</v>
      </c>
      <c r="L41" s="16">
        <v>46084</v>
      </c>
      <c r="M41" s="30"/>
    </row>
    <row r="42" spans="2:13" x14ac:dyDescent="0.25">
      <c r="B42" s="28" t="s">
        <v>13</v>
      </c>
      <c r="C42" s="29" t="s">
        <v>23</v>
      </c>
      <c r="D42" s="29" t="s">
        <v>50</v>
      </c>
      <c r="E42" s="29" t="s">
        <v>73</v>
      </c>
      <c r="F42" s="29"/>
      <c r="G42" s="29"/>
      <c r="H42" s="30">
        <v>151</v>
      </c>
      <c r="I42" s="49">
        <v>0.7</v>
      </c>
      <c r="J42" s="30" t="s">
        <v>30</v>
      </c>
      <c r="K42" s="16">
        <v>46057</v>
      </c>
      <c r="L42" s="16">
        <v>46084</v>
      </c>
      <c r="M42" s="30"/>
    </row>
    <row r="43" spans="2:13" x14ac:dyDescent="0.25">
      <c r="B43" s="28" t="s">
        <v>13</v>
      </c>
      <c r="C43" s="29" t="s">
        <v>23</v>
      </c>
      <c r="D43" s="29" t="s">
        <v>50</v>
      </c>
      <c r="E43" s="29" t="s">
        <v>74</v>
      </c>
      <c r="F43" s="29"/>
      <c r="G43" s="29"/>
      <c r="H43" s="30">
        <v>151</v>
      </c>
      <c r="I43" s="49">
        <v>0.7</v>
      </c>
      <c r="J43" s="30" t="s">
        <v>30</v>
      </c>
      <c r="K43" s="16">
        <v>46057</v>
      </c>
      <c r="L43" s="16">
        <v>46084</v>
      </c>
      <c r="M43" s="30"/>
    </row>
    <row r="44" spans="2:13" x14ac:dyDescent="0.25">
      <c r="B44" s="28" t="s">
        <v>13</v>
      </c>
      <c r="C44" s="29" t="s">
        <v>23</v>
      </c>
      <c r="D44" s="29" t="s">
        <v>50</v>
      </c>
      <c r="E44" s="29" t="s">
        <v>75</v>
      </c>
      <c r="F44" s="29"/>
      <c r="G44" s="29"/>
      <c r="H44" s="30">
        <v>151</v>
      </c>
      <c r="I44" s="49">
        <v>0.7</v>
      </c>
      <c r="J44" s="30" t="s">
        <v>30</v>
      </c>
      <c r="K44" s="16">
        <v>46057</v>
      </c>
      <c r="L44" s="16">
        <v>46084</v>
      </c>
      <c r="M44" s="30"/>
    </row>
    <row r="45" spans="2:13" x14ac:dyDescent="0.25">
      <c r="B45" s="28" t="s">
        <v>13</v>
      </c>
      <c r="C45" s="29" t="s">
        <v>23</v>
      </c>
      <c r="D45" s="29" t="s">
        <v>50</v>
      </c>
      <c r="E45" s="29" t="s">
        <v>76</v>
      </c>
      <c r="F45" s="29"/>
      <c r="G45" s="29"/>
      <c r="H45" s="30">
        <v>151</v>
      </c>
      <c r="I45" s="49">
        <v>0.7</v>
      </c>
      <c r="J45" s="30" t="s">
        <v>30</v>
      </c>
      <c r="K45" s="16">
        <v>46057</v>
      </c>
      <c r="L45" s="16">
        <v>46084</v>
      </c>
      <c r="M45" s="30" t="s">
        <v>77</v>
      </c>
    </row>
    <row r="46" spans="2:13" x14ac:dyDescent="0.25">
      <c r="B46" s="28" t="s">
        <v>13</v>
      </c>
      <c r="C46" s="29" t="s">
        <v>23</v>
      </c>
      <c r="D46" s="29" t="s">
        <v>50</v>
      </c>
      <c r="E46" s="29" t="s">
        <v>78</v>
      </c>
      <c r="F46" s="29"/>
      <c r="G46" s="29"/>
      <c r="H46" s="30">
        <v>151</v>
      </c>
      <c r="I46" s="49">
        <v>0.7</v>
      </c>
      <c r="J46" s="30" t="s">
        <v>30</v>
      </c>
      <c r="K46" s="16">
        <v>46057</v>
      </c>
      <c r="L46" s="16">
        <v>46084</v>
      </c>
      <c r="M46" s="30" t="s">
        <v>77</v>
      </c>
    </row>
    <row r="47" spans="2:13" x14ac:dyDescent="0.25">
      <c r="B47" s="28" t="s">
        <v>13</v>
      </c>
      <c r="C47" s="29" t="s">
        <v>23</v>
      </c>
      <c r="D47" s="29" t="s">
        <v>50</v>
      </c>
      <c r="E47" s="29" t="s">
        <v>79</v>
      </c>
      <c r="F47" s="29"/>
      <c r="G47" s="29"/>
      <c r="H47" s="30">
        <v>151</v>
      </c>
      <c r="I47" s="49">
        <v>0.7</v>
      </c>
      <c r="J47" s="30" t="s">
        <v>30</v>
      </c>
      <c r="K47" s="16">
        <v>46057</v>
      </c>
      <c r="L47" s="16">
        <v>46084</v>
      </c>
      <c r="M47" s="30" t="s">
        <v>77</v>
      </c>
    </row>
    <row r="48" spans="2:13" x14ac:dyDescent="0.25">
      <c r="B48" s="28" t="s">
        <v>13</v>
      </c>
      <c r="C48" s="29" t="s">
        <v>23</v>
      </c>
      <c r="D48" s="29" t="s">
        <v>80</v>
      </c>
      <c r="E48" s="29" t="s">
        <v>81</v>
      </c>
      <c r="F48" s="29"/>
      <c r="G48" s="29"/>
      <c r="H48" s="30">
        <v>154</v>
      </c>
      <c r="I48" s="49">
        <v>1</v>
      </c>
      <c r="J48" s="30" t="s">
        <v>16</v>
      </c>
      <c r="K48" s="16">
        <v>46056</v>
      </c>
      <c r="L48" s="16">
        <v>46091</v>
      </c>
      <c r="M48" s="30"/>
    </row>
    <row r="49" spans="2:13" x14ac:dyDescent="0.25">
      <c r="B49" s="28" t="s">
        <v>13</v>
      </c>
      <c r="C49" s="29" t="s">
        <v>23</v>
      </c>
      <c r="D49" s="29" t="s">
        <v>80</v>
      </c>
      <c r="E49" s="29" t="s">
        <v>82</v>
      </c>
      <c r="F49" s="29"/>
      <c r="G49" s="29"/>
      <c r="H49" s="30">
        <v>154</v>
      </c>
      <c r="I49" s="49">
        <v>1</v>
      </c>
      <c r="J49" s="30" t="s">
        <v>16</v>
      </c>
      <c r="K49" s="16">
        <v>46056</v>
      </c>
      <c r="L49" s="16">
        <v>46091</v>
      </c>
      <c r="M49" s="30"/>
    </row>
    <row r="50" spans="2:13" x14ac:dyDescent="0.25">
      <c r="B50" s="28" t="s">
        <v>13</v>
      </c>
      <c r="C50" s="29" t="s">
        <v>23</v>
      </c>
      <c r="D50" s="29" t="s">
        <v>83</v>
      </c>
      <c r="E50" s="29" t="s">
        <v>84</v>
      </c>
      <c r="F50" s="29"/>
      <c r="G50" s="29"/>
      <c r="H50" s="30">
        <v>138</v>
      </c>
      <c r="I50" s="49">
        <v>1</v>
      </c>
      <c r="J50" s="30" t="s">
        <v>16</v>
      </c>
      <c r="K50" s="16">
        <v>46056</v>
      </c>
      <c r="L50" s="16">
        <v>46091</v>
      </c>
      <c r="M50" s="30"/>
    </row>
    <row r="51" spans="2:13" x14ac:dyDescent="0.25">
      <c r="B51" s="28" t="s">
        <v>13</v>
      </c>
      <c r="C51" s="29" t="s">
        <v>23</v>
      </c>
      <c r="D51" s="29" t="s">
        <v>83</v>
      </c>
      <c r="E51" s="29" t="s">
        <v>85</v>
      </c>
      <c r="F51" s="29"/>
      <c r="G51" s="29"/>
      <c r="H51" s="30">
        <v>138</v>
      </c>
      <c r="I51" s="49">
        <v>1</v>
      </c>
      <c r="J51" s="30" t="s">
        <v>16</v>
      </c>
      <c r="K51" s="16">
        <v>46056</v>
      </c>
      <c r="L51" s="16">
        <v>46091</v>
      </c>
      <c r="M51" s="30"/>
    </row>
    <row r="52" spans="2:13" x14ac:dyDescent="0.25">
      <c r="B52" s="28" t="s">
        <v>13</v>
      </c>
      <c r="C52" s="29" t="s">
        <v>23</v>
      </c>
      <c r="D52" s="29" t="s">
        <v>83</v>
      </c>
      <c r="E52" s="29" t="s">
        <v>86</v>
      </c>
      <c r="F52" s="29"/>
      <c r="G52" s="29"/>
      <c r="H52" s="30">
        <v>138</v>
      </c>
      <c r="I52" s="49">
        <v>1</v>
      </c>
      <c r="J52" s="30" t="s">
        <v>16</v>
      </c>
      <c r="K52" s="16">
        <v>46056</v>
      </c>
      <c r="L52" s="16">
        <v>46091</v>
      </c>
      <c r="M52" s="30"/>
    </row>
    <row r="53" spans="2:13" x14ac:dyDescent="0.25">
      <c r="B53" s="28" t="s">
        <v>13</v>
      </c>
      <c r="C53" s="29" t="s">
        <v>23</v>
      </c>
      <c r="D53" s="29" t="s">
        <v>83</v>
      </c>
      <c r="E53" s="29" t="s">
        <v>87</v>
      </c>
      <c r="F53" s="29"/>
      <c r="G53" s="29"/>
      <c r="H53" s="30">
        <v>138</v>
      </c>
      <c r="I53" s="49">
        <v>1</v>
      </c>
      <c r="J53" s="30" t="s">
        <v>16</v>
      </c>
      <c r="K53" s="16">
        <v>46056</v>
      </c>
      <c r="L53" s="16">
        <v>46091</v>
      </c>
      <c r="M53" s="30"/>
    </row>
    <row r="54" spans="2:13" x14ac:dyDescent="0.25">
      <c r="B54" s="28" t="s">
        <v>13</v>
      </c>
      <c r="C54" s="29" t="s">
        <v>23</v>
      </c>
      <c r="D54" s="29" t="s">
        <v>83</v>
      </c>
      <c r="E54" s="29" t="s">
        <v>88</v>
      </c>
      <c r="F54" s="29"/>
      <c r="G54" s="29"/>
      <c r="H54" s="30">
        <v>138</v>
      </c>
      <c r="I54" s="49">
        <v>1</v>
      </c>
      <c r="J54" s="30" t="s">
        <v>16</v>
      </c>
      <c r="K54" s="16">
        <v>46056</v>
      </c>
      <c r="L54" s="16">
        <v>46091</v>
      </c>
      <c r="M54" s="30"/>
    </row>
    <row r="55" spans="2:13" x14ac:dyDescent="0.25">
      <c r="B55" s="28" t="s">
        <v>13</v>
      </c>
      <c r="C55" s="29" t="s">
        <v>23</v>
      </c>
      <c r="D55" s="29" t="s">
        <v>83</v>
      </c>
      <c r="E55" s="29" t="s">
        <v>89</v>
      </c>
      <c r="F55" s="29"/>
      <c r="G55" s="29"/>
      <c r="H55" s="30">
        <v>138</v>
      </c>
      <c r="I55" s="49">
        <v>1</v>
      </c>
      <c r="J55" s="30" t="s">
        <v>16</v>
      </c>
      <c r="K55" s="16">
        <v>46056</v>
      </c>
      <c r="L55" s="16">
        <v>46091</v>
      </c>
      <c r="M55" s="30"/>
    </row>
    <row r="56" spans="2:13" x14ac:dyDescent="0.25">
      <c r="B56" s="28" t="s">
        <v>13</v>
      </c>
      <c r="C56" s="29" t="s">
        <v>23</v>
      </c>
      <c r="D56" s="29" t="s">
        <v>83</v>
      </c>
      <c r="E56" s="29" t="s">
        <v>90</v>
      </c>
      <c r="F56" s="29"/>
      <c r="G56" s="29"/>
      <c r="H56" s="30">
        <v>138</v>
      </c>
      <c r="I56" s="49">
        <v>1</v>
      </c>
      <c r="J56" s="30" t="s">
        <v>16</v>
      </c>
      <c r="K56" s="16">
        <v>46056</v>
      </c>
      <c r="L56" s="16">
        <v>46091</v>
      </c>
      <c r="M56" s="30"/>
    </row>
    <row r="57" spans="2:13" x14ac:dyDescent="0.25">
      <c r="B57" s="28" t="s">
        <v>13</v>
      </c>
      <c r="C57" s="29" t="s">
        <v>23</v>
      </c>
      <c r="D57" s="29" t="s">
        <v>91</v>
      </c>
      <c r="E57" s="29" t="s">
        <v>92</v>
      </c>
      <c r="F57" s="29"/>
      <c r="G57" s="29"/>
      <c r="H57" s="30">
        <v>140</v>
      </c>
      <c r="I57" s="49">
        <v>1</v>
      </c>
      <c r="J57" s="30" t="s">
        <v>26</v>
      </c>
      <c r="K57" s="16">
        <v>46056</v>
      </c>
      <c r="L57" s="14"/>
      <c r="M57" s="30"/>
    </row>
    <row r="58" spans="2:13" x14ac:dyDescent="0.25">
      <c r="B58" s="28" t="s">
        <v>13</v>
      </c>
      <c r="C58" s="29" t="s">
        <v>23</v>
      </c>
      <c r="D58" s="29" t="s">
        <v>93</v>
      </c>
      <c r="E58" s="29" t="s">
        <v>94</v>
      </c>
      <c r="F58" s="29"/>
      <c r="G58" s="29"/>
      <c r="H58" s="30">
        <v>144</v>
      </c>
      <c r="I58" s="49">
        <v>1</v>
      </c>
      <c r="J58" s="30" t="s">
        <v>26</v>
      </c>
      <c r="K58" s="16">
        <v>46056</v>
      </c>
      <c r="L58" s="14"/>
      <c r="M58" s="30"/>
    </row>
    <row r="59" spans="2:13" x14ac:dyDescent="0.25">
      <c r="B59" s="28" t="s">
        <v>13</v>
      </c>
      <c r="C59" s="29" t="s">
        <v>23</v>
      </c>
      <c r="D59" s="29" t="s">
        <v>95</v>
      </c>
      <c r="E59" s="29" t="s">
        <v>96</v>
      </c>
      <c r="F59" s="29"/>
      <c r="G59" s="29"/>
      <c r="H59" s="30">
        <v>142</v>
      </c>
      <c r="I59" s="49">
        <v>1</v>
      </c>
      <c r="J59" s="30" t="s">
        <v>16</v>
      </c>
      <c r="K59" s="16">
        <v>46056</v>
      </c>
      <c r="L59" s="14"/>
      <c r="M59" s="30"/>
    </row>
    <row r="60" spans="2:13" x14ac:dyDescent="0.25">
      <c r="B60" s="28" t="s">
        <v>13</v>
      </c>
      <c r="C60" s="29" t="s">
        <v>23</v>
      </c>
      <c r="D60" s="29" t="s">
        <v>97</v>
      </c>
      <c r="E60" s="29" t="s">
        <v>98</v>
      </c>
      <c r="F60" s="29"/>
      <c r="G60" s="29"/>
      <c r="H60" s="30">
        <v>152</v>
      </c>
      <c r="I60" s="49">
        <v>0.9</v>
      </c>
      <c r="J60" s="30" t="s">
        <v>26</v>
      </c>
      <c r="K60" s="16">
        <v>46057</v>
      </c>
      <c r="L60" s="16">
        <v>46084</v>
      </c>
      <c r="M60" s="30"/>
    </row>
    <row r="61" spans="2:13" x14ac:dyDescent="0.25">
      <c r="B61" s="28" t="s">
        <v>13</v>
      </c>
      <c r="C61" s="29" t="s">
        <v>23</v>
      </c>
      <c r="D61" s="29" t="s">
        <v>97</v>
      </c>
      <c r="E61" s="29" t="s">
        <v>99</v>
      </c>
      <c r="F61" s="29"/>
      <c r="G61" s="29"/>
      <c r="H61" s="30">
        <v>152</v>
      </c>
      <c r="I61" s="49">
        <v>0.9</v>
      </c>
      <c r="J61" s="30" t="s">
        <v>26</v>
      </c>
      <c r="K61" s="16">
        <v>46057</v>
      </c>
      <c r="L61" s="16">
        <v>46084</v>
      </c>
      <c r="M61" s="30"/>
    </row>
    <row r="62" spans="2:13" x14ac:dyDescent="0.25">
      <c r="B62" s="28" t="s">
        <v>13</v>
      </c>
      <c r="C62" s="29" t="s">
        <v>23</v>
      </c>
      <c r="D62" s="29" t="s">
        <v>97</v>
      </c>
      <c r="E62" s="29" t="s">
        <v>100</v>
      </c>
      <c r="F62" s="29"/>
      <c r="G62" s="29"/>
      <c r="H62" s="30">
        <v>152</v>
      </c>
      <c r="I62" s="49">
        <v>1</v>
      </c>
      <c r="J62" s="30" t="s">
        <v>26</v>
      </c>
      <c r="K62" s="16">
        <v>46057</v>
      </c>
      <c r="L62" s="16">
        <v>46084</v>
      </c>
      <c r="M62" s="30"/>
    </row>
    <row r="63" spans="2:13" x14ac:dyDescent="0.25">
      <c r="B63" s="28" t="s">
        <v>13</v>
      </c>
      <c r="C63" s="29" t="s">
        <v>23</v>
      </c>
      <c r="D63" s="29" t="s">
        <v>97</v>
      </c>
      <c r="E63" s="29" t="s">
        <v>101</v>
      </c>
      <c r="F63" s="29"/>
      <c r="G63" s="29"/>
      <c r="H63" s="30">
        <v>152</v>
      </c>
      <c r="I63" s="49">
        <v>1</v>
      </c>
      <c r="J63" s="30" t="s">
        <v>26</v>
      </c>
      <c r="K63" s="16">
        <v>46057</v>
      </c>
      <c r="L63" s="16">
        <v>46084</v>
      </c>
      <c r="M63" s="30"/>
    </row>
    <row r="64" spans="2:13" x14ac:dyDescent="0.25">
      <c r="B64" s="28" t="s">
        <v>13</v>
      </c>
      <c r="C64" s="29" t="s">
        <v>23</v>
      </c>
      <c r="D64" s="29" t="s">
        <v>97</v>
      </c>
      <c r="E64" s="29" t="s">
        <v>102</v>
      </c>
      <c r="F64" s="29"/>
      <c r="G64" s="29"/>
      <c r="H64" s="30">
        <v>152</v>
      </c>
      <c r="I64" s="49">
        <v>1</v>
      </c>
      <c r="J64" s="30" t="s">
        <v>26</v>
      </c>
      <c r="K64" s="16">
        <v>46057</v>
      </c>
      <c r="L64" s="16">
        <v>46084</v>
      </c>
      <c r="M64" s="30"/>
    </row>
    <row r="65" spans="2:13" x14ac:dyDescent="0.25">
      <c r="B65" s="28" t="s">
        <v>13</v>
      </c>
      <c r="C65" s="29" t="s">
        <v>23</v>
      </c>
      <c r="D65" s="29" t="s">
        <v>97</v>
      </c>
      <c r="E65" s="29" t="s">
        <v>103</v>
      </c>
      <c r="F65" s="29"/>
      <c r="G65" s="29"/>
      <c r="H65" s="30">
        <v>152</v>
      </c>
      <c r="I65" s="49">
        <v>1</v>
      </c>
      <c r="J65" s="30" t="s">
        <v>26</v>
      </c>
      <c r="K65" s="16">
        <v>46057</v>
      </c>
      <c r="L65" s="16">
        <v>46084</v>
      </c>
      <c r="M65" s="30"/>
    </row>
    <row r="66" spans="2:13" x14ac:dyDescent="0.25">
      <c r="B66" s="28" t="s">
        <v>13</v>
      </c>
      <c r="C66" s="29" t="s">
        <v>23</v>
      </c>
      <c r="D66" s="29" t="s">
        <v>97</v>
      </c>
      <c r="E66" s="29" t="s">
        <v>104</v>
      </c>
      <c r="F66" s="29"/>
      <c r="G66" s="29"/>
      <c r="H66" s="30">
        <v>152</v>
      </c>
      <c r="I66" s="49">
        <v>1</v>
      </c>
      <c r="J66" s="30" t="s">
        <v>26</v>
      </c>
      <c r="K66" s="16">
        <v>46057</v>
      </c>
      <c r="L66" s="16">
        <v>46084</v>
      </c>
      <c r="M66" s="30"/>
    </row>
    <row r="67" spans="2:13" x14ac:dyDescent="0.25">
      <c r="B67" s="28" t="s">
        <v>13</v>
      </c>
      <c r="C67" s="29" t="s">
        <v>23</v>
      </c>
      <c r="D67" s="29" t="s">
        <v>97</v>
      </c>
      <c r="E67" s="29" t="s">
        <v>105</v>
      </c>
      <c r="F67" s="29"/>
      <c r="G67" s="29"/>
      <c r="H67" s="30">
        <v>152</v>
      </c>
      <c r="I67" s="49">
        <v>1</v>
      </c>
      <c r="J67" s="30" t="s">
        <v>26</v>
      </c>
      <c r="K67" s="16">
        <v>46057</v>
      </c>
      <c r="L67" s="16">
        <v>46084</v>
      </c>
      <c r="M67" s="30"/>
    </row>
    <row r="68" spans="2:13" x14ac:dyDescent="0.25">
      <c r="B68" s="28" t="s">
        <v>13</v>
      </c>
      <c r="C68" s="29" t="s">
        <v>23</v>
      </c>
      <c r="D68" s="29" t="s">
        <v>97</v>
      </c>
      <c r="E68" s="29" t="s">
        <v>106</v>
      </c>
      <c r="F68" s="29"/>
      <c r="G68" s="29"/>
      <c r="H68" s="30">
        <v>152</v>
      </c>
      <c r="I68" s="49">
        <v>1</v>
      </c>
      <c r="J68" s="30" t="s">
        <v>26</v>
      </c>
      <c r="K68" s="16">
        <v>46057</v>
      </c>
      <c r="L68" s="16">
        <v>46084</v>
      </c>
      <c r="M68" s="30"/>
    </row>
    <row r="69" spans="2:13" x14ac:dyDescent="0.25">
      <c r="B69" s="28" t="s">
        <v>13</v>
      </c>
      <c r="C69" s="29" t="s">
        <v>23</v>
      </c>
      <c r="D69" s="29" t="s">
        <v>97</v>
      </c>
      <c r="E69" s="29" t="s">
        <v>107</v>
      </c>
      <c r="F69" s="29"/>
      <c r="G69" s="29"/>
      <c r="H69" s="30">
        <v>152</v>
      </c>
      <c r="I69" s="49">
        <v>1</v>
      </c>
      <c r="J69" s="30" t="s">
        <v>26</v>
      </c>
      <c r="K69" s="16">
        <v>46057</v>
      </c>
      <c r="L69" s="16">
        <v>46084</v>
      </c>
      <c r="M69" s="30"/>
    </row>
    <row r="70" spans="2:13" x14ac:dyDescent="0.25">
      <c r="B70" s="28" t="s">
        <v>13</v>
      </c>
      <c r="C70" s="29" t="s">
        <v>23</v>
      </c>
      <c r="D70" s="29" t="s">
        <v>97</v>
      </c>
      <c r="E70" s="29" t="s">
        <v>108</v>
      </c>
      <c r="F70" s="29"/>
      <c r="G70" s="29"/>
      <c r="H70" s="30">
        <v>152</v>
      </c>
      <c r="I70" s="49">
        <v>1</v>
      </c>
      <c r="J70" s="30" t="s">
        <v>26</v>
      </c>
      <c r="K70" s="16">
        <v>46057</v>
      </c>
      <c r="L70" s="16">
        <v>46084</v>
      </c>
      <c r="M70" s="30"/>
    </row>
    <row r="71" spans="2:13" x14ac:dyDescent="0.25">
      <c r="B71" s="28" t="s">
        <v>13</v>
      </c>
      <c r="C71" s="29" t="s">
        <v>23</v>
      </c>
      <c r="D71" s="29" t="s">
        <v>97</v>
      </c>
      <c r="E71" s="29" t="s">
        <v>109</v>
      </c>
      <c r="F71" s="29"/>
      <c r="G71" s="29"/>
      <c r="H71" s="30">
        <v>152</v>
      </c>
      <c r="I71" s="49">
        <v>1</v>
      </c>
      <c r="J71" s="30" t="s">
        <v>26</v>
      </c>
      <c r="K71" s="16">
        <v>46057</v>
      </c>
      <c r="L71" s="16">
        <v>46084</v>
      </c>
      <c r="M71" s="30"/>
    </row>
    <row r="72" spans="2:13" x14ac:dyDescent="0.25">
      <c r="B72" s="28" t="s">
        <v>13</v>
      </c>
      <c r="C72" s="29" t="s">
        <v>23</v>
      </c>
      <c r="D72" s="29" t="s">
        <v>97</v>
      </c>
      <c r="E72" s="29" t="s">
        <v>110</v>
      </c>
      <c r="F72" s="29"/>
      <c r="G72" s="29"/>
      <c r="H72" s="30">
        <v>152</v>
      </c>
      <c r="I72" s="49">
        <v>1</v>
      </c>
      <c r="J72" s="30" t="s">
        <v>26</v>
      </c>
      <c r="K72" s="16">
        <v>46057</v>
      </c>
      <c r="L72" s="16">
        <v>46084</v>
      </c>
      <c r="M72" s="30"/>
    </row>
    <row r="73" spans="2:13" x14ac:dyDescent="0.25">
      <c r="B73" s="28" t="s">
        <v>13</v>
      </c>
      <c r="C73" s="29" t="s">
        <v>23</v>
      </c>
      <c r="D73" s="29" t="s">
        <v>97</v>
      </c>
      <c r="E73" s="29" t="s">
        <v>111</v>
      </c>
      <c r="F73" s="29"/>
      <c r="G73" s="29"/>
      <c r="H73" s="30">
        <v>152</v>
      </c>
      <c r="I73" s="49">
        <v>1</v>
      </c>
      <c r="J73" s="30" t="s">
        <v>26</v>
      </c>
      <c r="K73" s="16">
        <v>46057</v>
      </c>
      <c r="L73" s="16">
        <v>46084</v>
      </c>
      <c r="M73" s="30"/>
    </row>
    <row r="74" spans="2:13" x14ac:dyDescent="0.25">
      <c r="B74" s="28" t="s">
        <v>13</v>
      </c>
      <c r="C74" s="29" t="s">
        <v>23</v>
      </c>
      <c r="D74" s="29" t="s">
        <v>97</v>
      </c>
      <c r="E74" s="29" t="s">
        <v>112</v>
      </c>
      <c r="F74" s="29"/>
      <c r="G74" s="29"/>
      <c r="H74" s="30">
        <v>152</v>
      </c>
      <c r="I74" s="49">
        <v>1</v>
      </c>
      <c r="J74" s="30" t="s">
        <v>26</v>
      </c>
      <c r="K74" s="16">
        <v>46057</v>
      </c>
      <c r="L74" s="16">
        <v>46084</v>
      </c>
      <c r="M74" s="30"/>
    </row>
    <row r="75" spans="2:13" x14ac:dyDescent="0.25">
      <c r="B75" s="28" t="s">
        <v>13</v>
      </c>
      <c r="C75" s="29" t="s">
        <v>23</v>
      </c>
      <c r="D75" s="29" t="s">
        <v>97</v>
      </c>
      <c r="E75" s="29" t="s">
        <v>113</v>
      </c>
      <c r="F75" s="29"/>
      <c r="G75" s="29"/>
      <c r="H75" s="30">
        <v>152</v>
      </c>
      <c r="I75" s="49">
        <v>1</v>
      </c>
      <c r="J75" s="30" t="s">
        <v>26</v>
      </c>
      <c r="K75" s="16">
        <v>46057</v>
      </c>
      <c r="L75" s="16">
        <v>46084</v>
      </c>
      <c r="M75" s="30"/>
    </row>
    <row r="76" spans="2:13" x14ac:dyDescent="0.25">
      <c r="B76" s="28" t="s">
        <v>13</v>
      </c>
      <c r="C76" s="29" t="s">
        <v>23</v>
      </c>
      <c r="D76" s="29" t="s">
        <v>97</v>
      </c>
      <c r="E76" s="29" t="s">
        <v>114</v>
      </c>
      <c r="F76" s="29"/>
      <c r="G76" s="29"/>
      <c r="H76" s="30">
        <v>152</v>
      </c>
      <c r="I76" s="49">
        <v>1</v>
      </c>
      <c r="J76" s="30" t="s">
        <v>26</v>
      </c>
      <c r="K76" s="16">
        <v>46057</v>
      </c>
      <c r="L76" s="16">
        <v>46084</v>
      </c>
      <c r="M76" s="30"/>
    </row>
    <row r="77" spans="2:13" x14ac:dyDescent="0.25">
      <c r="B77" s="28" t="s">
        <v>13</v>
      </c>
      <c r="C77" s="29" t="s">
        <v>23</v>
      </c>
      <c r="D77" s="29" t="s">
        <v>115</v>
      </c>
      <c r="E77" s="29" t="s">
        <v>44</v>
      </c>
      <c r="F77" s="29"/>
      <c r="G77" s="29"/>
      <c r="H77" s="30">
        <v>148</v>
      </c>
      <c r="I77" s="49">
        <v>1</v>
      </c>
      <c r="J77" s="30" t="s">
        <v>16</v>
      </c>
      <c r="K77" s="16">
        <v>46056</v>
      </c>
      <c r="L77" s="14"/>
      <c r="M77" s="30"/>
    </row>
    <row r="78" spans="2:13" x14ac:dyDescent="0.25">
      <c r="B78" s="28" t="s">
        <v>116</v>
      </c>
      <c r="C78" s="8" t="s">
        <v>14</v>
      </c>
      <c r="D78" s="8" t="s">
        <v>14</v>
      </c>
      <c r="E78" s="29" t="s">
        <v>15</v>
      </c>
      <c r="F78" s="30"/>
      <c r="G78" s="29"/>
      <c r="H78" s="30">
        <v>17</v>
      </c>
      <c r="I78" s="49">
        <v>1</v>
      </c>
      <c r="J78" s="30" t="s">
        <v>16</v>
      </c>
      <c r="K78" s="16">
        <v>45993</v>
      </c>
      <c r="L78" s="14"/>
      <c r="M78" s="30"/>
    </row>
    <row r="79" spans="2:13" x14ac:dyDescent="0.25">
      <c r="B79" s="28" t="s">
        <v>116</v>
      </c>
      <c r="C79" s="8" t="s">
        <v>14</v>
      </c>
      <c r="D79" s="8" t="s">
        <v>14</v>
      </c>
      <c r="E79" s="29" t="s">
        <v>18</v>
      </c>
      <c r="F79" s="30"/>
      <c r="G79" s="29"/>
      <c r="H79" s="30">
        <v>61</v>
      </c>
      <c r="I79" s="49">
        <v>1</v>
      </c>
      <c r="J79" s="30" t="s">
        <v>16</v>
      </c>
      <c r="K79" s="16">
        <v>46084</v>
      </c>
      <c r="L79" s="14"/>
      <c r="M79" s="30"/>
    </row>
    <row r="80" spans="2:13" x14ac:dyDescent="0.25">
      <c r="B80" s="28" t="s">
        <v>116</v>
      </c>
      <c r="C80" s="8" t="s">
        <v>14</v>
      </c>
      <c r="D80" s="8" t="s">
        <v>14</v>
      </c>
      <c r="E80" s="29" t="s">
        <v>20</v>
      </c>
      <c r="F80" s="30"/>
      <c r="G80" s="29"/>
      <c r="H80" s="30">
        <v>61</v>
      </c>
      <c r="I80" s="49">
        <v>1</v>
      </c>
      <c r="J80" s="30" t="s">
        <v>16</v>
      </c>
      <c r="K80" s="16">
        <v>46084</v>
      </c>
      <c r="L80" s="14"/>
      <c r="M80" s="30"/>
    </row>
    <row r="81" spans="2:13" x14ac:dyDescent="0.25">
      <c r="B81" s="28" t="s">
        <v>116</v>
      </c>
      <c r="C81" s="8" t="s">
        <v>14</v>
      </c>
      <c r="D81" s="8" t="s">
        <v>14</v>
      </c>
      <c r="E81" s="29" t="s">
        <v>21</v>
      </c>
      <c r="F81" s="30"/>
      <c r="G81" s="29"/>
      <c r="H81" s="30">
        <v>52</v>
      </c>
      <c r="I81" s="49">
        <v>1</v>
      </c>
      <c r="J81" s="30" t="s">
        <v>16</v>
      </c>
      <c r="K81" s="16">
        <v>46049</v>
      </c>
      <c r="L81" s="14"/>
      <c r="M81" s="30"/>
    </row>
    <row r="82" spans="2:13" x14ac:dyDescent="0.25">
      <c r="B82" s="28" t="s">
        <v>116</v>
      </c>
      <c r="C82" s="8" t="s">
        <v>14</v>
      </c>
      <c r="D82" s="8" t="s">
        <v>14</v>
      </c>
      <c r="E82" s="29" t="s">
        <v>22</v>
      </c>
      <c r="F82" s="30" t="s">
        <v>117</v>
      </c>
      <c r="G82" s="29"/>
      <c r="H82" s="30"/>
      <c r="I82" s="49">
        <v>1</v>
      </c>
      <c r="J82" s="30" t="s">
        <v>30</v>
      </c>
      <c r="K82" s="16">
        <v>46093</v>
      </c>
      <c r="L82" s="14"/>
      <c r="M82" s="30" t="s">
        <v>118</v>
      </c>
    </row>
    <row r="83" spans="2:13" x14ac:dyDescent="0.25">
      <c r="B83" s="28" t="s">
        <v>116</v>
      </c>
      <c r="C83" s="29" t="s">
        <v>23</v>
      </c>
      <c r="D83" s="29" t="s">
        <v>24</v>
      </c>
      <c r="E83" s="29" t="s">
        <v>25</v>
      </c>
      <c r="F83" s="29"/>
      <c r="G83" s="29"/>
      <c r="H83" s="30"/>
      <c r="I83" s="49">
        <v>1</v>
      </c>
      <c r="J83" s="30" t="s">
        <v>16</v>
      </c>
      <c r="K83" s="16">
        <v>46108</v>
      </c>
      <c r="L83" s="14"/>
      <c r="M83" s="30"/>
    </row>
    <row r="84" spans="2:13" x14ac:dyDescent="0.25">
      <c r="B84" s="28" t="s">
        <v>116</v>
      </c>
      <c r="C84" s="29" t="s">
        <v>23</v>
      </c>
      <c r="D84" s="29" t="s">
        <v>28</v>
      </c>
      <c r="E84" s="29" t="s">
        <v>29</v>
      </c>
      <c r="F84" s="29"/>
      <c r="G84" s="29"/>
      <c r="H84" s="30"/>
      <c r="I84" s="49">
        <v>1</v>
      </c>
      <c r="J84" s="30" t="s">
        <v>26</v>
      </c>
      <c r="K84" s="16"/>
      <c r="L84" s="16">
        <v>46113</v>
      </c>
      <c r="M84" s="30" t="s">
        <v>118</v>
      </c>
    </row>
    <row r="85" spans="2:13" x14ac:dyDescent="0.25">
      <c r="B85" s="28" t="s">
        <v>116</v>
      </c>
      <c r="C85" s="29" t="s">
        <v>23</v>
      </c>
      <c r="D85" s="29" t="s">
        <v>32</v>
      </c>
      <c r="E85" s="29" t="s">
        <v>33</v>
      </c>
      <c r="F85" s="29"/>
      <c r="G85" s="29"/>
      <c r="H85" s="30"/>
      <c r="I85" s="49">
        <v>1</v>
      </c>
      <c r="J85" s="30" t="s">
        <v>30</v>
      </c>
      <c r="K85" s="16">
        <v>46108</v>
      </c>
      <c r="L85" s="14"/>
      <c r="M85" s="30" t="s">
        <v>118</v>
      </c>
    </row>
    <row r="86" spans="2:13" x14ac:dyDescent="0.25">
      <c r="B86" s="28" t="s">
        <v>116</v>
      </c>
      <c r="C86" s="29" t="s">
        <v>23</v>
      </c>
      <c r="D86" s="29" t="s">
        <v>32</v>
      </c>
      <c r="E86" s="29" t="s">
        <v>38</v>
      </c>
      <c r="F86" s="29"/>
      <c r="G86" s="29"/>
      <c r="H86" s="30"/>
      <c r="I86" s="49">
        <v>1</v>
      </c>
      <c r="J86" s="30" t="s">
        <v>30</v>
      </c>
      <c r="K86" s="16">
        <v>46108</v>
      </c>
      <c r="L86" s="14"/>
      <c r="M86" s="30" t="s">
        <v>118</v>
      </c>
    </row>
    <row r="87" spans="2:13" x14ac:dyDescent="0.25">
      <c r="B87" s="28" t="s">
        <v>116</v>
      </c>
      <c r="C87" s="29" t="s">
        <v>23</v>
      </c>
      <c r="D87" s="29" t="s">
        <v>32</v>
      </c>
      <c r="E87" s="29" t="s">
        <v>119</v>
      </c>
      <c r="F87" s="29"/>
      <c r="G87" s="29"/>
      <c r="H87" s="30"/>
      <c r="I87" s="49">
        <v>1</v>
      </c>
      <c r="J87" s="30" t="s">
        <v>30</v>
      </c>
      <c r="K87" s="16">
        <v>46108</v>
      </c>
      <c r="L87" s="14"/>
      <c r="M87" s="30" t="s">
        <v>118</v>
      </c>
    </row>
    <row r="88" spans="2:13" x14ac:dyDescent="0.25">
      <c r="B88" s="28" t="s">
        <v>116</v>
      </c>
      <c r="C88" s="29" t="s">
        <v>23</v>
      </c>
      <c r="D88" s="29" t="s">
        <v>39</v>
      </c>
      <c r="E88" s="29" t="s">
        <v>40</v>
      </c>
      <c r="F88" s="29"/>
      <c r="G88" s="29"/>
      <c r="H88" s="30"/>
      <c r="I88" s="49">
        <v>1</v>
      </c>
      <c r="J88" s="30" t="s">
        <v>26</v>
      </c>
      <c r="K88" s="16">
        <v>46108</v>
      </c>
      <c r="L88" s="14"/>
      <c r="M88" s="30"/>
    </row>
    <row r="89" spans="2:13" x14ac:dyDescent="0.25">
      <c r="B89" s="28" t="s">
        <v>116</v>
      </c>
      <c r="C89" s="29" t="s">
        <v>23</v>
      </c>
      <c r="D89" s="29" t="s">
        <v>39</v>
      </c>
      <c r="E89" s="29" t="s">
        <v>42</v>
      </c>
      <c r="F89" s="29"/>
      <c r="G89" s="29"/>
      <c r="H89" s="30"/>
      <c r="I89" s="49">
        <v>1</v>
      </c>
      <c r="J89" s="30" t="s">
        <v>26</v>
      </c>
      <c r="K89" s="16">
        <v>46108</v>
      </c>
      <c r="L89" s="14"/>
      <c r="M89" s="30"/>
    </row>
    <row r="90" spans="2:13" x14ac:dyDescent="0.25">
      <c r="B90" s="28" t="s">
        <v>116</v>
      </c>
      <c r="C90" s="29" t="s">
        <v>23</v>
      </c>
      <c r="D90" s="29" t="s">
        <v>43</v>
      </c>
      <c r="E90" s="29" t="s">
        <v>44</v>
      </c>
      <c r="F90" s="29"/>
      <c r="G90" s="29"/>
      <c r="H90" s="30"/>
      <c r="I90" s="49">
        <v>1</v>
      </c>
      <c r="J90" s="30" t="s">
        <v>26</v>
      </c>
      <c r="K90" s="16">
        <v>46108</v>
      </c>
      <c r="L90" s="14"/>
      <c r="M90" s="30"/>
    </row>
    <row r="91" spans="2:13" x14ac:dyDescent="0.25">
      <c r="B91" s="28" t="s">
        <v>116</v>
      </c>
      <c r="C91" s="29" t="s">
        <v>23</v>
      </c>
      <c r="D91" s="29" t="s">
        <v>45</v>
      </c>
      <c r="E91" s="29" t="s">
        <v>120</v>
      </c>
      <c r="F91" s="29"/>
      <c r="G91" s="29"/>
      <c r="H91" s="30"/>
      <c r="I91" s="49">
        <v>1</v>
      </c>
      <c r="J91" s="30" t="s">
        <v>26</v>
      </c>
      <c r="K91" s="16">
        <v>46108</v>
      </c>
      <c r="L91" s="14"/>
      <c r="M91" s="30"/>
    </row>
    <row r="92" spans="2:13" x14ac:dyDescent="0.25">
      <c r="B92" s="28" t="s">
        <v>116</v>
      </c>
      <c r="C92" s="29" t="s">
        <v>23</v>
      </c>
      <c r="D92" s="29" t="s">
        <v>45</v>
      </c>
      <c r="E92" s="29" t="s">
        <v>121</v>
      </c>
      <c r="F92" s="29"/>
      <c r="G92" s="29"/>
      <c r="H92" s="30"/>
      <c r="I92" s="49">
        <v>1</v>
      </c>
      <c r="J92" s="30" t="s">
        <v>26</v>
      </c>
      <c r="K92" s="16">
        <v>46108</v>
      </c>
      <c r="L92" s="14"/>
      <c r="M92" s="30"/>
    </row>
    <row r="93" spans="2:13" x14ac:dyDescent="0.25">
      <c r="B93" s="28" t="s">
        <v>116</v>
      </c>
      <c r="C93" s="29" t="s">
        <v>23</v>
      </c>
      <c r="D93" s="29" t="s">
        <v>45</v>
      </c>
      <c r="E93" s="29" t="s">
        <v>47</v>
      </c>
      <c r="F93" s="29"/>
      <c r="G93" s="29"/>
      <c r="H93" s="30"/>
      <c r="I93" s="49">
        <v>1</v>
      </c>
      <c r="J93" s="30" t="s">
        <v>26</v>
      </c>
      <c r="K93" s="16">
        <v>46108</v>
      </c>
      <c r="L93" s="14"/>
      <c r="M93" s="30"/>
    </row>
    <row r="94" spans="2:13" x14ac:dyDescent="0.25">
      <c r="B94" s="28" t="s">
        <v>116</v>
      </c>
      <c r="C94" s="29" t="s">
        <v>23</v>
      </c>
      <c r="D94" s="29" t="s">
        <v>50</v>
      </c>
      <c r="E94" s="51" t="s">
        <v>122</v>
      </c>
      <c r="F94" s="29"/>
      <c r="G94" s="29"/>
      <c r="H94" s="30"/>
      <c r="I94" s="49">
        <v>1</v>
      </c>
      <c r="J94" s="30" t="s">
        <v>30</v>
      </c>
      <c r="K94" s="16">
        <v>46108</v>
      </c>
      <c r="L94" s="14"/>
      <c r="M94" s="30" t="s">
        <v>123</v>
      </c>
    </row>
    <row r="95" spans="2:13" x14ac:dyDescent="0.25">
      <c r="B95" s="28" t="s">
        <v>116</v>
      </c>
      <c r="C95" s="29" t="s">
        <v>23</v>
      </c>
      <c r="D95" s="29" t="s">
        <v>50</v>
      </c>
      <c r="E95" s="51" t="s">
        <v>124</v>
      </c>
      <c r="F95" s="29"/>
      <c r="G95" s="29"/>
      <c r="H95" s="30"/>
      <c r="I95" s="49">
        <v>1</v>
      </c>
      <c r="J95" s="30" t="s">
        <v>30</v>
      </c>
      <c r="K95" s="16">
        <v>46108</v>
      </c>
      <c r="L95" s="16"/>
      <c r="M95" s="30" t="s">
        <v>123</v>
      </c>
    </row>
    <row r="96" spans="2:13" x14ac:dyDescent="0.25">
      <c r="B96" s="28" t="s">
        <v>116</v>
      </c>
      <c r="C96" s="29" t="s">
        <v>23</v>
      </c>
      <c r="D96" s="29" t="s">
        <v>50</v>
      </c>
      <c r="E96" s="51" t="s">
        <v>125</v>
      </c>
      <c r="F96" s="29"/>
      <c r="G96" s="29"/>
      <c r="H96" s="30"/>
      <c r="I96" s="49">
        <v>1</v>
      </c>
      <c r="J96" s="30" t="s">
        <v>30</v>
      </c>
      <c r="K96" s="16">
        <v>46108</v>
      </c>
      <c r="L96" s="14"/>
      <c r="M96" s="30" t="s">
        <v>123</v>
      </c>
    </row>
    <row r="97" spans="2:13" x14ac:dyDescent="0.25">
      <c r="B97" s="28" t="s">
        <v>116</v>
      </c>
      <c r="C97" s="29" t="s">
        <v>23</v>
      </c>
      <c r="D97" s="29" t="s">
        <v>50</v>
      </c>
      <c r="E97" s="51" t="s">
        <v>126</v>
      </c>
      <c r="F97" s="29"/>
      <c r="G97" s="29"/>
      <c r="H97" s="30"/>
      <c r="I97" s="49">
        <v>1</v>
      </c>
      <c r="J97" s="30" t="s">
        <v>30</v>
      </c>
      <c r="K97" s="16">
        <v>46108</v>
      </c>
      <c r="L97" s="14"/>
      <c r="M97" s="30" t="s">
        <v>123</v>
      </c>
    </row>
    <row r="98" spans="2:13" x14ac:dyDescent="0.25">
      <c r="B98" s="28" t="s">
        <v>116</v>
      </c>
      <c r="C98" s="29" t="s">
        <v>23</v>
      </c>
      <c r="D98" s="29" t="s">
        <v>50</v>
      </c>
      <c r="E98" s="51" t="s">
        <v>127</v>
      </c>
      <c r="F98" s="29"/>
      <c r="G98" s="29"/>
      <c r="H98" s="30"/>
      <c r="I98" s="49">
        <v>1</v>
      </c>
      <c r="J98" s="30" t="s">
        <v>30</v>
      </c>
      <c r="K98" s="16">
        <v>46108</v>
      </c>
      <c r="L98" s="14"/>
      <c r="M98" s="30" t="s">
        <v>123</v>
      </c>
    </row>
    <row r="99" spans="2:13" x14ac:dyDescent="0.25">
      <c r="B99" s="28" t="s">
        <v>116</v>
      </c>
      <c r="C99" s="29" t="s">
        <v>23</v>
      </c>
      <c r="D99" s="29" t="s">
        <v>50</v>
      </c>
      <c r="E99" s="51" t="s">
        <v>128</v>
      </c>
      <c r="F99" s="29"/>
      <c r="G99" s="29"/>
      <c r="H99" s="30"/>
      <c r="I99" s="49">
        <v>1</v>
      </c>
      <c r="J99" s="30" t="s">
        <v>30</v>
      </c>
      <c r="K99" s="16">
        <v>46108</v>
      </c>
      <c r="L99" s="14"/>
      <c r="M99" s="30" t="s">
        <v>123</v>
      </c>
    </row>
    <row r="100" spans="2:13" x14ac:dyDescent="0.25">
      <c r="B100" s="28" t="s">
        <v>116</v>
      </c>
      <c r="C100" s="29" t="s">
        <v>23</v>
      </c>
      <c r="D100" s="29" t="s">
        <v>50</v>
      </c>
      <c r="E100" s="51" t="s">
        <v>129</v>
      </c>
      <c r="F100" s="29"/>
      <c r="G100" s="29"/>
      <c r="H100" s="30"/>
      <c r="I100" s="49">
        <v>1</v>
      </c>
      <c r="J100" s="30" t="s">
        <v>30</v>
      </c>
      <c r="K100" s="16">
        <v>46108</v>
      </c>
      <c r="L100" s="14"/>
      <c r="M100" s="30" t="s">
        <v>123</v>
      </c>
    </row>
    <row r="101" spans="2:13" x14ac:dyDescent="0.25">
      <c r="B101" s="28" t="s">
        <v>116</v>
      </c>
      <c r="C101" s="29" t="s">
        <v>23</v>
      </c>
      <c r="D101" s="29" t="s">
        <v>50</v>
      </c>
      <c r="E101" s="51" t="s">
        <v>54</v>
      </c>
      <c r="F101" s="29"/>
      <c r="G101" s="29"/>
      <c r="H101" s="30"/>
      <c r="I101" s="49">
        <v>1</v>
      </c>
      <c r="J101" s="30" t="s">
        <v>30</v>
      </c>
      <c r="K101" s="16">
        <v>46108</v>
      </c>
      <c r="L101" s="14"/>
      <c r="M101" s="30" t="s">
        <v>123</v>
      </c>
    </row>
    <row r="102" spans="2:13" x14ac:dyDescent="0.25">
      <c r="B102" s="28" t="s">
        <v>116</v>
      </c>
      <c r="C102" s="29" t="s">
        <v>23</v>
      </c>
      <c r="D102" s="29" t="s">
        <v>50</v>
      </c>
      <c r="E102" s="51" t="s">
        <v>130</v>
      </c>
      <c r="F102" s="29"/>
      <c r="G102" s="29"/>
      <c r="H102" s="30"/>
      <c r="I102" s="49">
        <v>1</v>
      </c>
      <c r="J102" s="30" t="s">
        <v>30</v>
      </c>
      <c r="K102" s="16">
        <v>46108</v>
      </c>
      <c r="L102" s="14"/>
      <c r="M102" s="30" t="s">
        <v>123</v>
      </c>
    </row>
    <row r="103" spans="2:13" x14ac:dyDescent="0.25">
      <c r="B103" s="28" t="s">
        <v>116</v>
      </c>
      <c r="C103" s="29" t="s">
        <v>23</v>
      </c>
      <c r="D103" s="29" t="s">
        <v>50</v>
      </c>
      <c r="E103" s="51" t="s">
        <v>131</v>
      </c>
      <c r="F103" s="29"/>
      <c r="G103" s="29"/>
      <c r="H103" s="30"/>
      <c r="I103" s="49">
        <v>1</v>
      </c>
      <c r="J103" s="30" t="s">
        <v>30</v>
      </c>
      <c r="K103" s="16">
        <v>46108</v>
      </c>
      <c r="L103" s="14"/>
      <c r="M103" s="30" t="s">
        <v>123</v>
      </c>
    </row>
    <row r="104" spans="2:13" x14ac:dyDescent="0.25">
      <c r="B104" s="28" t="s">
        <v>116</v>
      </c>
      <c r="C104" s="29" t="s">
        <v>23</v>
      </c>
      <c r="D104" s="29" t="s">
        <v>50</v>
      </c>
      <c r="E104" s="51" t="s">
        <v>132</v>
      </c>
      <c r="F104" s="29"/>
      <c r="G104" s="29"/>
      <c r="H104" s="30"/>
      <c r="I104" s="49">
        <v>1</v>
      </c>
      <c r="J104" s="30" t="s">
        <v>30</v>
      </c>
      <c r="K104" s="16">
        <v>46108</v>
      </c>
      <c r="L104" s="14"/>
      <c r="M104" s="30" t="s">
        <v>123</v>
      </c>
    </row>
    <row r="105" spans="2:13" x14ac:dyDescent="0.25">
      <c r="B105" s="28" t="s">
        <v>116</v>
      </c>
      <c r="C105" s="29" t="s">
        <v>23</v>
      </c>
      <c r="D105" s="29" t="s">
        <v>50</v>
      </c>
      <c r="E105" s="51" t="s">
        <v>133</v>
      </c>
      <c r="F105" s="29"/>
      <c r="G105" s="29"/>
      <c r="H105" s="30"/>
      <c r="I105" s="49">
        <v>1</v>
      </c>
      <c r="J105" s="30" t="s">
        <v>30</v>
      </c>
      <c r="K105" s="16">
        <v>46108</v>
      </c>
      <c r="L105" s="14"/>
      <c r="M105" s="30" t="s">
        <v>123</v>
      </c>
    </row>
    <row r="106" spans="2:13" x14ac:dyDescent="0.25">
      <c r="B106" s="28" t="s">
        <v>116</v>
      </c>
      <c r="C106" s="29" t="s">
        <v>23</v>
      </c>
      <c r="D106" s="29" t="s">
        <v>50</v>
      </c>
      <c r="E106" s="51" t="s">
        <v>134</v>
      </c>
      <c r="F106" s="29"/>
      <c r="G106" s="29"/>
      <c r="H106" s="30"/>
      <c r="I106" s="49">
        <v>1</v>
      </c>
      <c r="J106" s="30" t="s">
        <v>30</v>
      </c>
      <c r="K106" s="16">
        <v>46108</v>
      </c>
      <c r="L106" s="14"/>
      <c r="M106" s="30" t="s">
        <v>123</v>
      </c>
    </row>
    <row r="107" spans="2:13" x14ac:dyDescent="0.25">
      <c r="B107" s="28" t="s">
        <v>116</v>
      </c>
      <c r="C107" s="29" t="s">
        <v>23</v>
      </c>
      <c r="D107" s="29" t="s">
        <v>50</v>
      </c>
      <c r="E107" s="51" t="s">
        <v>135</v>
      </c>
      <c r="F107" s="29"/>
      <c r="G107" s="29"/>
      <c r="H107" s="30"/>
      <c r="I107" s="49">
        <v>1</v>
      </c>
      <c r="J107" s="30" t="s">
        <v>26</v>
      </c>
      <c r="K107" s="16">
        <v>46108</v>
      </c>
      <c r="L107" s="14"/>
      <c r="M107" s="30" t="s">
        <v>136</v>
      </c>
    </row>
    <row r="108" spans="2:13" x14ac:dyDescent="0.25">
      <c r="B108" s="28" t="s">
        <v>116</v>
      </c>
      <c r="C108" s="29" t="s">
        <v>23</v>
      </c>
      <c r="D108" s="29" t="s">
        <v>50</v>
      </c>
      <c r="E108" s="51" t="s">
        <v>137</v>
      </c>
      <c r="F108" s="29"/>
      <c r="G108" s="29"/>
      <c r="H108" s="30"/>
      <c r="I108" s="49">
        <v>1</v>
      </c>
      <c r="J108" s="30" t="s">
        <v>26</v>
      </c>
      <c r="K108" s="16">
        <v>46108</v>
      </c>
      <c r="L108" s="14"/>
      <c r="M108" s="30"/>
    </row>
    <row r="109" spans="2:13" x14ac:dyDescent="0.25">
      <c r="B109" s="28" t="s">
        <v>116</v>
      </c>
      <c r="C109" s="29" t="s">
        <v>23</v>
      </c>
      <c r="D109" s="29" t="s">
        <v>80</v>
      </c>
      <c r="E109" s="51" t="s">
        <v>138</v>
      </c>
      <c r="F109" s="29"/>
      <c r="G109" s="29"/>
      <c r="H109" s="30"/>
      <c r="I109" s="49">
        <v>1</v>
      </c>
      <c r="J109" s="30" t="s">
        <v>26</v>
      </c>
      <c r="K109" s="16">
        <v>46108</v>
      </c>
      <c r="L109" s="14"/>
      <c r="M109" s="30"/>
    </row>
    <row r="110" spans="2:13" x14ac:dyDescent="0.25">
      <c r="B110" s="28" t="s">
        <v>116</v>
      </c>
      <c r="C110" s="29" t="s">
        <v>23</v>
      </c>
      <c r="D110" s="29" t="s">
        <v>80</v>
      </c>
      <c r="E110" s="29" t="s">
        <v>139</v>
      </c>
      <c r="F110" s="29"/>
      <c r="G110" s="29"/>
      <c r="H110" s="30"/>
      <c r="I110" s="49">
        <v>1</v>
      </c>
      <c r="J110" s="30" t="s">
        <v>26</v>
      </c>
      <c r="K110" s="16">
        <v>46108</v>
      </c>
      <c r="L110" s="14"/>
      <c r="M110" s="30"/>
    </row>
    <row r="111" spans="2:13" x14ac:dyDescent="0.25">
      <c r="B111" s="28" t="s">
        <v>116</v>
      </c>
      <c r="C111" s="29" t="s">
        <v>23</v>
      </c>
      <c r="D111" s="29" t="s">
        <v>80</v>
      </c>
      <c r="E111" s="29" t="s">
        <v>140</v>
      </c>
      <c r="F111" s="29"/>
      <c r="G111" s="29"/>
      <c r="H111" s="30"/>
      <c r="I111" s="49">
        <v>1</v>
      </c>
      <c r="J111" s="30" t="s">
        <v>26</v>
      </c>
      <c r="K111" s="16">
        <v>46108</v>
      </c>
      <c r="L111" s="14"/>
      <c r="M111" s="30"/>
    </row>
    <row r="112" spans="2:13" x14ac:dyDescent="0.25">
      <c r="B112" s="28" t="s">
        <v>116</v>
      </c>
      <c r="C112" s="29" t="s">
        <v>23</v>
      </c>
      <c r="D112" s="29" t="s">
        <v>83</v>
      </c>
      <c r="E112" s="29" t="s">
        <v>141</v>
      </c>
      <c r="F112" s="29"/>
      <c r="G112" s="29"/>
      <c r="H112" s="30"/>
      <c r="I112" s="49">
        <v>1</v>
      </c>
      <c r="J112" s="30" t="s">
        <v>26</v>
      </c>
      <c r="K112" s="16">
        <v>46108</v>
      </c>
      <c r="L112" s="14"/>
      <c r="M112" s="30"/>
    </row>
    <row r="113" spans="2:13" x14ac:dyDescent="0.25">
      <c r="B113" s="28" t="s">
        <v>116</v>
      </c>
      <c r="C113" s="29" t="s">
        <v>23</v>
      </c>
      <c r="D113" s="29" t="s">
        <v>91</v>
      </c>
      <c r="E113" s="29" t="s">
        <v>142</v>
      </c>
      <c r="F113" s="29"/>
      <c r="G113" s="29"/>
      <c r="H113" s="30"/>
      <c r="I113" s="49">
        <v>1</v>
      </c>
      <c r="J113" s="30" t="s">
        <v>26</v>
      </c>
      <c r="K113" s="16">
        <v>46108</v>
      </c>
      <c r="L113" s="14"/>
      <c r="M113" s="30"/>
    </row>
    <row r="114" spans="2:13" x14ac:dyDescent="0.25">
      <c r="B114" s="28" t="s">
        <v>116</v>
      </c>
      <c r="C114" s="29" t="s">
        <v>23</v>
      </c>
      <c r="D114" s="29" t="s">
        <v>91</v>
      </c>
      <c r="E114" s="29" t="s">
        <v>143</v>
      </c>
      <c r="F114" s="29"/>
      <c r="G114" s="29"/>
      <c r="H114" s="30"/>
      <c r="I114" s="49">
        <v>1</v>
      </c>
      <c r="J114" s="30" t="s">
        <v>26</v>
      </c>
      <c r="K114" s="16">
        <v>46108</v>
      </c>
      <c r="L114" s="14"/>
      <c r="M114" s="30"/>
    </row>
    <row r="115" spans="2:13" x14ac:dyDescent="0.25">
      <c r="B115" s="28" t="s">
        <v>116</v>
      </c>
      <c r="C115" s="29" t="s">
        <v>23</v>
      </c>
      <c r="D115" s="29" t="s">
        <v>93</v>
      </c>
      <c r="E115" s="29" t="s">
        <v>144</v>
      </c>
      <c r="F115" s="29"/>
      <c r="G115" s="29"/>
      <c r="H115" s="30"/>
      <c r="I115" s="49">
        <v>1</v>
      </c>
      <c r="J115" s="30" t="s">
        <v>26</v>
      </c>
      <c r="K115" s="16"/>
      <c r="L115" s="16">
        <v>46113</v>
      </c>
      <c r="M115" s="30"/>
    </row>
    <row r="116" spans="2:13" x14ac:dyDescent="0.25">
      <c r="B116" s="28" t="s">
        <v>116</v>
      </c>
      <c r="C116" s="29" t="s">
        <v>23</v>
      </c>
      <c r="D116" s="29" t="s">
        <v>95</v>
      </c>
      <c r="E116" s="29" t="s">
        <v>145</v>
      </c>
      <c r="F116" s="29"/>
      <c r="G116" s="29"/>
      <c r="H116" s="30"/>
      <c r="I116" s="49">
        <v>1</v>
      </c>
      <c r="J116" s="30" t="s">
        <v>26</v>
      </c>
      <c r="K116" s="16">
        <v>46108</v>
      </c>
      <c r="L116" s="14"/>
      <c r="M116" s="30"/>
    </row>
    <row r="117" spans="2:13" x14ac:dyDescent="0.25">
      <c r="B117" s="28" t="s">
        <v>116</v>
      </c>
      <c r="C117" s="29" t="s">
        <v>23</v>
      </c>
      <c r="D117" s="29" t="s">
        <v>115</v>
      </c>
      <c r="E117" s="29" t="s">
        <v>146</v>
      </c>
      <c r="F117" s="29"/>
      <c r="G117" s="29"/>
      <c r="H117" s="30"/>
      <c r="I117" s="49">
        <v>1</v>
      </c>
      <c r="J117" s="30" t="s">
        <v>26</v>
      </c>
      <c r="K117" s="16">
        <v>46108</v>
      </c>
      <c r="L117" s="14"/>
      <c r="M117" s="30"/>
    </row>
    <row r="118" spans="2:13" x14ac:dyDescent="0.25">
      <c r="B118" s="28" t="s">
        <v>116</v>
      </c>
      <c r="C118" s="29" t="s">
        <v>23</v>
      </c>
      <c r="D118" s="29" t="s">
        <v>97</v>
      </c>
      <c r="E118" s="29" t="s">
        <v>98</v>
      </c>
      <c r="F118" s="29"/>
      <c r="G118" s="29"/>
      <c r="H118" s="30"/>
      <c r="I118" s="49">
        <v>1</v>
      </c>
      <c r="J118" s="30" t="s">
        <v>26</v>
      </c>
      <c r="K118" s="16">
        <v>46108</v>
      </c>
      <c r="L118" s="14"/>
      <c r="M118" s="30"/>
    </row>
    <row r="119" spans="2:13" x14ac:dyDescent="0.25">
      <c r="B119" s="28" t="s">
        <v>116</v>
      </c>
      <c r="C119" s="29" t="s">
        <v>23</v>
      </c>
      <c r="D119" s="29" t="s">
        <v>97</v>
      </c>
      <c r="E119" s="29" t="s">
        <v>99</v>
      </c>
      <c r="F119" s="29"/>
      <c r="G119" s="29"/>
      <c r="H119" s="30"/>
      <c r="I119" s="49">
        <v>1</v>
      </c>
      <c r="J119" s="30" t="s">
        <v>26</v>
      </c>
      <c r="K119" s="16">
        <v>46108</v>
      </c>
      <c r="L119" s="14"/>
      <c r="M119" s="30"/>
    </row>
    <row r="120" spans="2:13" x14ac:dyDescent="0.25">
      <c r="B120" s="28" t="s">
        <v>116</v>
      </c>
      <c r="C120" s="29" t="s">
        <v>23</v>
      </c>
      <c r="D120" s="29" t="s">
        <v>97</v>
      </c>
      <c r="E120" s="29" t="s">
        <v>126</v>
      </c>
      <c r="F120" s="29"/>
      <c r="G120" s="29"/>
      <c r="H120" s="30"/>
      <c r="I120" s="49">
        <v>1</v>
      </c>
      <c r="J120" s="30" t="s">
        <v>26</v>
      </c>
      <c r="K120" s="16">
        <v>46108</v>
      </c>
      <c r="L120" s="14"/>
      <c r="M120" s="30"/>
    </row>
    <row r="121" spans="2:13" x14ac:dyDescent="0.25">
      <c r="B121" s="28" t="s">
        <v>116</v>
      </c>
      <c r="C121" s="29" t="s">
        <v>23</v>
      </c>
      <c r="D121" s="29" t="s">
        <v>97</v>
      </c>
      <c r="E121" s="29" t="s">
        <v>100</v>
      </c>
      <c r="F121" s="29"/>
      <c r="G121" s="29"/>
      <c r="H121" s="30"/>
      <c r="I121" s="49">
        <v>1</v>
      </c>
      <c r="J121" s="30" t="s">
        <v>26</v>
      </c>
      <c r="K121" s="16">
        <v>46108</v>
      </c>
      <c r="L121" s="14"/>
      <c r="M121" s="30"/>
    </row>
    <row r="122" spans="2:13" x14ac:dyDescent="0.25">
      <c r="B122" s="28" t="s">
        <v>116</v>
      </c>
      <c r="C122" s="29" t="s">
        <v>23</v>
      </c>
      <c r="D122" s="29" t="s">
        <v>97</v>
      </c>
      <c r="E122" s="29" t="s">
        <v>147</v>
      </c>
      <c r="F122" s="29"/>
      <c r="G122" s="29"/>
      <c r="H122" s="30"/>
      <c r="I122" s="49">
        <v>1</v>
      </c>
      <c r="J122" s="30" t="s">
        <v>26</v>
      </c>
      <c r="K122" s="16">
        <v>46108</v>
      </c>
      <c r="L122" s="14"/>
      <c r="M122" s="30"/>
    </row>
    <row r="123" spans="2:13" x14ac:dyDescent="0.25">
      <c r="B123" s="28" t="s">
        <v>116</v>
      </c>
      <c r="C123" s="29" t="s">
        <v>23</v>
      </c>
      <c r="D123" s="29" t="s">
        <v>97</v>
      </c>
      <c r="E123" s="29" t="s">
        <v>148</v>
      </c>
      <c r="F123" s="29"/>
      <c r="G123" s="29"/>
      <c r="H123" s="30"/>
      <c r="I123" s="49">
        <v>1</v>
      </c>
      <c r="J123" s="30" t="s">
        <v>26</v>
      </c>
      <c r="K123" s="16">
        <v>46108</v>
      </c>
      <c r="L123" s="14"/>
      <c r="M123" s="30"/>
    </row>
    <row r="124" spans="2:13" x14ac:dyDescent="0.25">
      <c r="B124" s="28" t="s">
        <v>116</v>
      </c>
      <c r="C124" s="29" t="s">
        <v>23</v>
      </c>
      <c r="D124" s="29" t="s">
        <v>97</v>
      </c>
      <c r="E124" s="29" t="s">
        <v>149</v>
      </c>
      <c r="F124" s="29"/>
      <c r="G124" s="29"/>
      <c r="H124" s="30"/>
      <c r="I124" s="49">
        <v>1</v>
      </c>
      <c r="J124" s="30" t="s">
        <v>26</v>
      </c>
      <c r="K124" s="16">
        <v>46108</v>
      </c>
      <c r="L124" s="14"/>
      <c r="M124" s="30"/>
    </row>
    <row r="125" spans="2:13" x14ac:dyDescent="0.25">
      <c r="B125" s="28" t="s">
        <v>116</v>
      </c>
      <c r="C125" s="29" t="s">
        <v>23</v>
      </c>
      <c r="D125" s="29" t="s">
        <v>97</v>
      </c>
      <c r="E125" s="29" t="s">
        <v>150</v>
      </c>
      <c r="F125" s="29"/>
      <c r="G125" s="29"/>
      <c r="H125" s="30"/>
      <c r="I125" s="49">
        <v>1</v>
      </c>
      <c r="J125" s="30" t="s">
        <v>26</v>
      </c>
      <c r="K125" s="16">
        <v>46108</v>
      </c>
      <c r="L125" s="14"/>
      <c r="M125" s="30"/>
    </row>
    <row r="126" spans="2:13" x14ac:dyDescent="0.25">
      <c r="B126" s="28" t="s">
        <v>116</v>
      </c>
      <c r="C126" s="29" t="s">
        <v>23</v>
      </c>
      <c r="D126" s="29" t="s">
        <v>97</v>
      </c>
      <c r="E126" s="29" t="s">
        <v>151</v>
      </c>
      <c r="F126" s="29"/>
      <c r="G126" s="29"/>
      <c r="H126" s="30"/>
      <c r="I126" s="49">
        <v>1</v>
      </c>
      <c r="J126" s="30" t="s">
        <v>26</v>
      </c>
      <c r="K126" s="16">
        <v>46108</v>
      </c>
      <c r="L126" s="14"/>
      <c r="M126" s="30"/>
    </row>
    <row r="127" spans="2:13" x14ac:dyDescent="0.25">
      <c r="B127" s="28" t="s">
        <v>116</v>
      </c>
      <c r="C127" s="29" t="s">
        <v>23</v>
      </c>
      <c r="D127" s="29" t="s">
        <v>97</v>
      </c>
      <c r="E127" s="29" t="s">
        <v>152</v>
      </c>
      <c r="F127" s="29"/>
      <c r="G127" s="29"/>
      <c r="H127" s="30"/>
      <c r="I127" s="49">
        <v>1</v>
      </c>
      <c r="J127" s="30" t="s">
        <v>26</v>
      </c>
      <c r="K127" s="16">
        <v>46108</v>
      </c>
      <c r="L127" s="14"/>
      <c r="M127" s="30"/>
    </row>
    <row r="128" spans="2:13" x14ac:dyDescent="0.25">
      <c r="B128" s="28" t="s">
        <v>116</v>
      </c>
      <c r="C128" s="29" t="s">
        <v>23</v>
      </c>
      <c r="D128" s="29" t="s">
        <v>97</v>
      </c>
      <c r="E128" s="29" t="s">
        <v>153</v>
      </c>
      <c r="F128" s="29"/>
      <c r="G128" s="29"/>
      <c r="H128" s="30"/>
      <c r="I128" s="49">
        <v>1</v>
      </c>
      <c r="J128" s="30" t="s">
        <v>26</v>
      </c>
      <c r="K128" s="16">
        <v>46108</v>
      </c>
      <c r="L128" s="14"/>
      <c r="M128" s="30"/>
    </row>
    <row r="129" spans="2:13" x14ac:dyDescent="0.25">
      <c r="B129" s="28" t="s">
        <v>154</v>
      </c>
      <c r="C129" s="8" t="s">
        <v>14</v>
      </c>
      <c r="D129" s="8" t="s">
        <v>14</v>
      </c>
      <c r="E129" s="29" t="s">
        <v>15</v>
      </c>
      <c r="F129" s="30"/>
      <c r="G129" s="29"/>
      <c r="H129" s="30">
        <v>11</v>
      </c>
      <c r="I129" s="49">
        <v>1</v>
      </c>
      <c r="J129" s="30" t="s">
        <v>16</v>
      </c>
      <c r="K129" s="16">
        <v>46090</v>
      </c>
      <c r="L129" s="16">
        <v>46100</v>
      </c>
      <c r="M129" s="30" t="s">
        <v>155</v>
      </c>
    </row>
    <row r="130" spans="2:13" x14ac:dyDescent="0.25">
      <c r="B130" s="28" t="s">
        <v>154</v>
      </c>
      <c r="C130" s="8" t="s">
        <v>14</v>
      </c>
      <c r="D130" s="8" t="s">
        <v>14</v>
      </c>
      <c r="E130" s="29" t="s">
        <v>18</v>
      </c>
      <c r="F130" s="30"/>
      <c r="G130" s="29"/>
      <c r="H130" s="30">
        <v>11</v>
      </c>
      <c r="I130" s="49">
        <v>1</v>
      </c>
      <c r="J130" s="30" t="s">
        <v>16</v>
      </c>
      <c r="K130" s="16">
        <v>46090</v>
      </c>
      <c r="L130" s="16">
        <v>46100</v>
      </c>
      <c r="M130" s="30" t="s">
        <v>155</v>
      </c>
    </row>
    <row r="131" spans="2:13" x14ac:dyDescent="0.25">
      <c r="B131" s="28" t="s">
        <v>154</v>
      </c>
      <c r="C131" s="8" t="s">
        <v>14</v>
      </c>
      <c r="D131" s="8" t="s">
        <v>14</v>
      </c>
      <c r="E131" s="29" t="s">
        <v>20</v>
      </c>
      <c r="F131" s="30"/>
      <c r="G131" s="29"/>
      <c r="H131" s="30">
        <v>11</v>
      </c>
      <c r="I131" s="49">
        <v>1</v>
      </c>
      <c r="J131" s="30" t="s">
        <v>16</v>
      </c>
      <c r="K131" s="16">
        <v>46106</v>
      </c>
      <c r="L131" s="16"/>
      <c r="M131" s="30" t="s">
        <v>155</v>
      </c>
    </row>
    <row r="132" spans="2:13" x14ac:dyDescent="0.25">
      <c r="B132" s="28" t="s">
        <v>154</v>
      </c>
      <c r="C132" s="8" t="s">
        <v>14</v>
      </c>
      <c r="D132" s="8" t="s">
        <v>14</v>
      </c>
      <c r="E132" s="29" t="s">
        <v>21</v>
      </c>
      <c r="F132" s="30"/>
      <c r="G132" s="29"/>
      <c r="H132" s="30">
        <v>11</v>
      </c>
      <c r="I132" s="49">
        <v>1</v>
      </c>
      <c r="J132" s="30" t="s">
        <v>16</v>
      </c>
      <c r="K132" s="16">
        <v>46090</v>
      </c>
      <c r="L132" s="16">
        <v>46100</v>
      </c>
      <c r="M132" s="30" t="s">
        <v>155</v>
      </c>
    </row>
    <row r="133" spans="2:13" x14ac:dyDescent="0.25">
      <c r="B133" s="28" t="s">
        <v>154</v>
      </c>
      <c r="C133" s="8" t="s">
        <v>14</v>
      </c>
      <c r="D133" s="8" t="s">
        <v>14</v>
      </c>
      <c r="E133" s="29" t="s">
        <v>22</v>
      </c>
      <c r="F133" s="30"/>
      <c r="G133" s="29"/>
      <c r="H133" s="30">
        <v>11</v>
      </c>
      <c r="I133" s="49">
        <v>1</v>
      </c>
      <c r="J133" s="30" t="s">
        <v>16</v>
      </c>
      <c r="K133" s="16">
        <v>46106</v>
      </c>
      <c r="L133" s="16"/>
      <c r="M133" s="30"/>
    </row>
    <row r="134" spans="2:13" x14ac:dyDescent="0.25">
      <c r="B134" s="28" t="s">
        <v>154</v>
      </c>
      <c r="C134" s="29" t="s">
        <v>23</v>
      </c>
      <c r="D134" s="29" t="s">
        <v>24</v>
      </c>
      <c r="E134" s="29" t="s">
        <v>25</v>
      </c>
      <c r="F134" s="29"/>
      <c r="G134" s="29"/>
      <c r="H134" s="30"/>
      <c r="I134" s="49">
        <v>0.9</v>
      </c>
      <c r="J134" s="30" t="s">
        <v>156</v>
      </c>
      <c r="K134" s="14"/>
      <c r="L134" s="14"/>
      <c r="M134" s="30"/>
    </row>
    <row r="135" spans="2:13" x14ac:dyDescent="0.25">
      <c r="B135" s="28" t="s">
        <v>154</v>
      </c>
      <c r="C135" s="29" t="s">
        <v>23</v>
      </c>
      <c r="D135" s="29" t="s">
        <v>28</v>
      </c>
      <c r="E135" s="29" t="s">
        <v>29</v>
      </c>
      <c r="F135" s="29"/>
      <c r="G135" s="29"/>
      <c r="H135" s="30"/>
      <c r="I135" s="49">
        <v>0.7</v>
      </c>
      <c r="J135" s="30" t="s">
        <v>156</v>
      </c>
      <c r="K135" s="14"/>
      <c r="L135" s="14"/>
      <c r="M135" s="30"/>
    </row>
    <row r="136" spans="2:13" x14ac:dyDescent="0.25">
      <c r="B136" s="28" t="s">
        <v>154</v>
      </c>
      <c r="C136" s="29" t="s">
        <v>23</v>
      </c>
      <c r="D136" s="29" t="s">
        <v>32</v>
      </c>
      <c r="E136" s="29" t="s">
        <v>33</v>
      </c>
      <c r="F136" s="29"/>
      <c r="G136" s="29"/>
      <c r="H136" s="30"/>
      <c r="I136" s="49">
        <v>0.7</v>
      </c>
      <c r="J136" s="30" t="s">
        <v>156</v>
      </c>
      <c r="K136" s="14"/>
      <c r="L136" s="14"/>
      <c r="M136" s="30"/>
    </row>
    <row r="137" spans="2:13" x14ac:dyDescent="0.25">
      <c r="B137" s="28" t="s">
        <v>154</v>
      </c>
      <c r="C137" s="29" t="s">
        <v>23</v>
      </c>
      <c r="D137" s="29" t="s">
        <v>32</v>
      </c>
      <c r="E137" s="29" t="s">
        <v>38</v>
      </c>
      <c r="F137" s="29"/>
      <c r="G137" s="29"/>
      <c r="H137" s="30"/>
      <c r="I137" s="49">
        <v>0.7</v>
      </c>
      <c r="J137" s="30" t="s">
        <v>156</v>
      </c>
      <c r="K137" s="14"/>
      <c r="L137" s="14"/>
      <c r="M137" s="30"/>
    </row>
    <row r="138" spans="2:13" x14ac:dyDescent="0.25">
      <c r="B138" s="28" t="s">
        <v>154</v>
      </c>
      <c r="C138" s="29" t="s">
        <v>23</v>
      </c>
      <c r="D138" s="29" t="s">
        <v>32</v>
      </c>
      <c r="E138" s="29" t="s">
        <v>157</v>
      </c>
      <c r="F138" s="29"/>
      <c r="G138" s="29"/>
      <c r="H138" s="30"/>
      <c r="I138" s="49">
        <v>0.7</v>
      </c>
      <c r="J138" s="30" t="s">
        <v>156</v>
      </c>
      <c r="K138" s="14"/>
      <c r="L138" s="14"/>
      <c r="M138" s="30"/>
    </row>
    <row r="139" spans="2:13" x14ac:dyDescent="0.25">
      <c r="B139" s="28" t="s">
        <v>154</v>
      </c>
      <c r="C139" s="29" t="s">
        <v>23</v>
      </c>
      <c r="D139" s="29" t="s">
        <v>32</v>
      </c>
      <c r="E139" s="29" t="s">
        <v>158</v>
      </c>
      <c r="F139" s="29"/>
      <c r="G139" s="29"/>
      <c r="H139" s="30"/>
      <c r="I139" s="49">
        <v>0.7</v>
      </c>
      <c r="J139" s="30" t="s">
        <v>156</v>
      </c>
      <c r="K139" s="14"/>
      <c r="L139" s="14"/>
      <c r="M139" s="30"/>
    </row>
    <row r="140" spans="2:13" x14ac:dyDescent="0.25">
      <c r="B140" s="28" t="s">
        <v>154</v>
      </c>
      <c r="C140" s="29" t="s">
        <v>23</v>
      </c>
      <c r="D140" s="29" t="s">
        <v>39</v>
      </c>
      <c r="E140" s="29" t="s">
        <v>40</v>
      </c>
      <c r="F140" s="29"/>
      <c r="G140" s="29"/>
      <c r="H140" s="30"/>
      <c r="I140" s="49">
        <v>0.2</v>
      </c>
      <c r="J140" s="30" t="s">
        <v>156</v>
      </c>
      <c r="K140" s="14"/>
      <c r="L140" s="14"/>
      <c r="M140" s="30"/>
    </row>
    <row r="141" spans="2:13" x14ac:dyDescent="0.25">
      <c r="B141" s="28" t="s">
        <v>154</v>
      </c>
      <c r="C141" s="29" t="s">
        <v>23</v>
      </c>
      <c r="D141" s="29" t="s">
        <v>39</v>
      </c>
      <c r="E141" s="29" t="s">
        <v>42</v>
      </c>
      <c r="F141" s="29"/>
      <c r="G141" s="29"/>
      <c r="H141" s="30"/>
      <c r="I141" s="49">
        <v>0.2</v>
      </c>
      <c r="J141" s="30" t="s">
        <v>156</v>
      </c>
      <c r="K141" s="14"/>
      <c r="L141" s="14"/>
      <c r="M141" s="30"/>
    </row>
    <row r="142" spans="2:13" x14ac:dyDescent="0.25">
      <c r="B142" s="28" t="s">
        <v>154</v>
      </c>
      <c r="C142" s="29" t="s">
        <v>23</v>
      </c>
      <c r="D142" s="29" t="s">
        <v>43</v>
      </c>
      <c r="E142" s="29" t="s">
        <v>44</v>
      </c>
      <c r="F142" s="29"/>
      <c r="G142" s="29"/>
      <c r="H142" s="30"/>
      <c r="I142" s="49">
        <v>0.1</v>
      </c>
      <c r="J142" s="30" t="s">
        <v>156</v>
      </c>
      <c r="K142" s="14"/>
      <c r="L142" s="14"/>
      <c r="M142" s="30"/>
    </row>
    <row r="143" spans="2:13" x14ac:dyDescent="0.25">
      <c r="B143" s="28" t="s">
        <v>154</v>
      </c>
      <c r="C143" s="29" t="s">
        <v>23</v>
      </c>
      <c r="D143" s="29" t="s">
        <v>45</v>
      </c>
      <c r="E143" s="29" t="s">
        <v>159</v>
      </c>
      <c r="F143" s="29"/>
      <c r="G143" s="29"/>
      <c r="H143" s="30"/>
      <c r="I143" s="49">
        <v>0.7</v>
      </c>
      <c r="J143" s="30" t="s">
        <v>156</v>
      </c>
      <c r="K143" s="14"/>
      <c r="L143" s="14"/>
      <c r="M143" s="30"/>
    </row>
    <row r="144" spans="2:13" x14ac:dyDescent="0.25">
      <c r="B144" s="28" t="s">
        <v>154</v>
      </c>
      <c r="C144" s="29" t="s">
        <v>23</v>
      </c>
      <c r="D144" s="29" t="s">
        <v>45</v>
      </c>
      <c r="E144" s="29" t="s">
        <v>47</v>
      </c>
      <c r="F144" s="29"/>
      <c r="G144" s="29"/>
      <c r="H144" s="30"/>
      <c r="I144" s="49">
        <v>0.7</v>
      </c>
      <c r="J144" s="30" t="s">
        <v>156</v>
      </c>
      <c r="K144" s="14"/>
      <c r="L144" s="14"/>
      <c r="M144" s="30"/>
    </row>
    <row r="145" spans="2:13" x14ac:dyDescent="0.25">
      <c r="B145" s="28" t="s">
        <v>154</v>
      </c>
      <c r="C145" s="29" t="s">
        <v>23</v>
      </c>
      <c r="D145" s="29" t="s">
        <v>45</v>
      </c>
      <c r="E145" s="29" t="s">
        <v>160</v>
      </c>
      <c r="F145" s="29"/>
      <c r="G145" s="29"/>
      <c r="H145" s="30"/>
      <c r="I145" s="49">
        <v>0.7</v>
      </c>
      <c r="J145" s="30" t="s">
        <v>156</v>
      </c>
      <c r="K145" s="14"/>
      <c r="L145" s="14"/>
      <c r="M145" s="30"/>
    </row>
    <row r="146" spans="2:13" x14ac:dyDescent="0.25">
      <c r="B146" s="28" t="s">
        <v>154</v>
      </c>
      <c r="C146" s="29" t="s">
        <v>23</v>
      </c>
      <c r="D146" s="29" t="s">
        <v>45</v>
      </c>
      <c r="E146" s="29" t="s">
        <v>161</v>
      </c>
      <c r="F146" s="29"/>
      <c r="G146" s="29"/>
      <c r="H146" s="30"/>
      <c r="I146" s="49">
        <v>0.7</v>
      </c>
      <c r="J146" s="30" t="s">
        <v>156</v>
      </c>
      <c r="K146" s="14"/>
      <c r="L146" s="14"/>
      <c r="M146" s="30"/>
    </row>
    <row r="147" spans="2:13" x14ac:dyDescent="0.25">
      <c r="B147" s="28" t="s">
        <v>154</v>
      </c>
      <c r="C147" s="29" t="s">
        <v>23</v>
      </c>
      <c r="D147" s="29" t="s">
        <v>50</v>
      </c>
      <c r="E147" s="29" t="s">
        <v>124</v>
      </c>
      <c r="F147" s="29"/>
      <c r="G147" s="29"/>
      <c r="H147" s="30"/>
      <c r="I147" s="49">
        <v>0.1</v>
      </c>
      <c r="J147" s="30" t="s">
        <v>156</v>
      </c>
      <c r="K147" s="14"/>
      <c r="L147" s="14"/>
      <c r="M147" s="30"/>
    </row>
    <row r="148" spans="2:13" x14ac:dyDescent="0.25">
      <c r="B148" s="28" t="s">
        <v>154</v>
      </c>
      <c r="C148" s="29" t="s">
        <v>23</v>
      </c>
      <c r="D148" s="29" t="s">
        <v>50</v>
      </c>
      <c r="E148" s="29" t="s">
        <v>125</v>
      </c>
      <c r="F148" s="29"/>
      <c r="G148" s="29"/>
      <c r="H148" s="30"/>
      <c r="I148" s="49">
        <v>0.3</v>
      </c>
      <c r="J148" s="30" t="s">
        <v>156</v>
      </c>
      <c r="K148" s="14"/>
      <c r="L148" s="14"/>
      <c r="M148" s="30"/>
    </row>
    <row r="149" spans="2:13" x14ac:dyDescent="0.25">
      <c r="B149" s="28" t="s">
        <v>154</v>
      </c>
      <c r="C149" s="29" t="s">
        <v>23</v>
      </c>
      <c r="D149" s="29" t="s">
        <v>50</v>
      </c>
      <c r="E149" s="29" t="s">
        <v>126</v>
      </c>
      <c r="F149" s="29"/>
      <c r="G149" s="29"/>
      <c r="H149" s="30"/>
      <c r="I149" s="49">
        <v>0.3</v>
      </c>
      <c r="J149" s="30" t="s">
        <v>156</v>
      </c>
      <c r="K149" s="14"/>
      <c r="L149" s="14"/>
      <c r="M149" s="30"/>
    </row>
    <row r="150" spans="2:13" x14ac:dyDescent="0.25">
      <c r="B150" s="28" t="s">
        <v>154</v>
      </c>
      <c r="C150" s="29" t="s">
        <v>23</v>
      </c>
      <c r="D150" s="29" t="s">
        <v>50</v>
      </c>
      <c r="E150" s="29" t="s">
        <v>55</v>
      </c>
      <c r="F150" s="29"/>
      <c r="G150" s="29"/>
      <c r="H150" s="30"/>
      <c r="I150" s="49">
        <v>0.3</v>
      </c>
      <c r="J150" s="30" t="s">
        <v>156</v>
      </c>
      <c r="K150" s="14"/>
      <c r="L150" s="14"/>
      <c r="M150" s="30"/>
    </row>
    <row r="151" spans="2:13" x14ac:dyDescent="0.25">
      <c r="B151" s="28" t="s">
        <v>154</v>
      </c>
      <c r="C151" s="29" t="s">
        <v>23</v>
      </c>
      <c r="D151" s="29" t="s">
        <v>50</v>
      </c>
      <c r="E151" s="29" t="s">
        <v>127</v>
      </c>
      <c r="F151" s="29"/>
      <c r="G151" s="29"/>
      <c r="H151" s="30"/>
      <c r="I151" s="49">
        <v>0.3</v>
      </c>
      <c r="J151" s="30" t="s">
        <v>156</v>
      </c>
      <c r="K151" s="14"/>
      <c r="L151" s="14"/>
      <c r="M151" s="30"/>
    </row>
    <row r="152" spans="2:13" x14ac:dyDescent="0.25">
      <c r="B152" s="28" t="s">
        <v>154</v>
      </c>
      <c r="C152" s="29" t="s">
        <v>23</v>
      </c>
      <c r="D152" s="29" t="s">
        <v>50</v>
      </c>
      <c r="E152" s="29" t="s">
        <v>128</v>
      </c>
      <c r="F152" s="29"/>
      <c r="G152" s="29"/>
      <c r="H152" s="30"/>
      <c r="I152" s="49">
        <v>0.3</v>
      </c>
      <c r="J152" s="30" t="s">
        <v>156</v>
      </c>
      <c r="K152" s="14"/>
      <c r="L152" s="14"/>
      <c r="M152" s="30"/>
    </row>
    <row r="153" spans="2:13" x14ac:dyDescent="0.25">
      <c r="B153" s="28" t="s">
        <v>154</v>
      </c>
      <c r="C153" s="29" t="s">
        <v>23</v>
      </c>
      <c r="D153" s="29" t="s">
        <v>50</v>
      </c>
      <c r="E153" s="29" t="s">
        <v>129</v>
      </c>
      <c r="F153" s="29"/>
      <c r="G153" s="29"/>
      <c r="H153" s="30"/>
      <c r="I153" s="49">
        <v>0.3</v>
      </c>
      <c r="J153" s="30" t="s">
        <v>156</v>
      </c>
      <c r="K153" s="14"/>
      <c r="L153" s="14"/>
      <c r="M153" s="30"/>
    </row>
    <row r="154" spans="2:13" x14ac:dyDescent="0.25">
      <c r="B154" s="28" t="s">
        <v>154</v>
      </c>
      <c r="C154" s="29" t="s">
        <v>23</v>
      </c>
      <c r="D154" s="29" t="s">
        <v>50</v>
      </c>
      <c r="E154" s="29" t="s">
        <v>162</v>
      </c>
      <c r="F154" s="29"/>
      <c r="G154" s="29"/>
      <c r="H154" s="30"/>
      <c r="I154" s="49">
        <v>0.3</v>
      </c>
      <c r="J154" s="30" t="s">
        <v>156</v>
      </c>
      <c r="K154" s="14"/>
      <c r="L154" s="14"/>
      <c r="M154" s="30"/>
    </row>
    <row r="155" spans="2:13" x14ac:dyDescent="0.25">
      <c r="B155" s="28" t="s">
        <v>154</v>
      </c>
      <c r="C155" s="29" t="s">
        <v>23</v>
      </c>
      <c r="D155" s="29" t="s">
        <v>50</v>
      </c>
      <c r="E155" s="29" t="s">
        <v>163</v>
      </c>
      <c r="F155" s="29"/>
      <c r="G155" s="29"/>
      <c r="H155" s="30"/>
      <c r="I155" s="49">
        <v>0.3</v>
      </c>
      <c r="J155" s="30" t="s">
        <v>156</v>
      </c>
      <c r="K155" s="14"/>
      <c r="L155" s="14"/>
      <c r="M155" s="30"/>
    </row>
    <row r="156" spans="2:13" x14ac:dyDescent="0.25">
      <c r="B156" s="28" t="s">
        <v>154</v>
      </c>
      <c r="C156" s="29" t="s">
        <v>23</v>
      </c>
      <c r="D156" s="29" t="s">
        <v>50</v>
      </c>
      <c r="E156" s="29" t="s">
        <v>54</v>
      </c>
      <c r="F156" s="29"/>
      <c r="G156" s="29"/>
      <c r="H156" s="30"/>
      <c r="I156" s="49">
        <v>0.7</v>
      </c>
      <c r="J156" s="30" t="s">
        <v>156</v>
      </c>
      <c r="K156" s="14"/>
      <c r="L156" s="14"/>
      <c r="M156" s="30"/>
    </row>
    <row r="157" spans="2:13" x14ac:dyDescent="0.25">
      <c r="B157" s="28" t="s">
        <v>154</v>
      </c>
      <c r="C157" s="29" t="s">
        <v>23</v>
      </c>
      <c r="D157" s="29" t="s">
        <v>50</v>
      </c>
      <c r="E157" s="29" t="s">
        <v>130</v>
      </c>
      <c r="F157" s="29"/>
      <c r="G157" s="29"/>
      <c r="H157" s="30"/>
      <c r="I157" s="49">
        <v>0.3</v>
      </c>
      <c r="J157" s="30" t="s">
        <v>156</v>
      </c>
      <c r="K157" s="14"/>
      <c r="L157" s="14"/>
      <c r="M157" s="30"/>
    </row>
    <row r="158" spans="2:13" x14ac:dyDescent="0.25">
      <c r="B158" s="28" t="s">
        <v>154</v>
      </c>
      <c r="C158" s="29" t="s">
        <v>23</v>
      </c>
      <c r="D158" s="29" t="s">
        <v>50</v>
      </c>
      <c r="E158" s="29" t="s">
        <v>134</v>
      </c>
      <c r="F158" s="29"/>
      <c r="G158" s="29"/>
      <c r="H158" s="30"/>
      <c r="I158" s="49">
        <v>0.5</v>
      </c>
      <c r="J158" s="30" t="s">
        <v>156</v>
      </c>
      <c r="K158" s="14"/>
      <c r="L158" s="14"/>
      <c r="M158" s="30"/>
    </row>
    <row r="159" spans="2:13" x14ac:dyDescent="0.25">
      <c r="B159" s="28" t="s">
        <v>154</v>
      </c>
      <c r="C159" s="29" t="s">
        <v>23</v>
      </c>
      <c r="D159" s="29" t="s">
        <v>50</v>
      </c>
      <c r="E159" s="29" t="s">
        <v>164</v>
      </c>
      <c r="F159" s="29"/>
      <c r="G159" s="29"/>
      <c r="H159" s="30"/>
      <c r="I159" s="49">
        <v>0.5</v>
      </c>
      <c r="J159" s="30" t="s">
        <v>156</v>
      </c>
      <c r="K159" s="14"/>
      <c r="L159" s="14"/>
      <c r="M159" s="30"/>
    </row>
    <row r="160" spans="2:13" x14ac:dyDescent="0.25">
      <c r="B160" s="28" t="s">
        <v>154</v>
      </c>
      <c r="C160" s="29" t="s">
        <v>23</v>
      </c>
      <c r="D160" s="29" t="s">
        <v>50</v>
      </c>
      <c r="E160" s="29" t="s">
        <v>165</v>
      </c>
      <c r="F160" s="29"/>
      <c r="G160" s="29"/>
      <c r="H160" s="30"/>
      <c r="I160" s="49">
        <v>0.5</v>
      </c>
      <c r="J160" s="30" t="s">
        <v>156</v>
      </c>
      <c r="K160" s="14"/>
      <c r="L160" s="14"/>
      <c r="M160" s="30"/>
    </row>
    <row r="161" spans="2:13" x14ac:dyDescent="0.25">
      <c r="B161" s="28" t="s">
        <v>154</v>
      </c>
      <c r="C161" s="29" t="s">
        <v>23</v>
      </c>
      <c r="D161" s="29" t="s">
        <v>50</v>
      </c>
      <c r="E161" s="29" t="s">
        <v>131</v>
      </c>
      <c r="F161" s="29"/>
      <c r="G161" s="29"/>
      <c r="H161" s="30"/>
      <c r="I161" s="49">
        <v>0.5</v>
      </c>
      <c r="J161" s="30" t="s">
        <v>156</v>
      </c>
      <c r="K161" s="14"/>
      <c r="L161" s="14"/>
      <c r="M161" s="30"/>
    </row>
    <row r="162" spans="2:13" x14ac:dyDescent="0.25">
      <c r="B162" s="28" t="s">
        <v>154</v>
      </c>
      <c r="C162" s="29" t="s">
        <v>23</v>
      </c>
      <c r="D162" s="29" t="s">
        <v>50</v>
      </c>
      <c r="E162" s="29" t="s">
        <v>132</v>
      </c>
      <c r="F162" s="29"/>
      <c r="G162" s="29"/>
      <c r="H162" s="30"/>
      <c r="I162" s="49">
        <v>0.7</v>
      </c>
      <c r="J162" s="30" t="s">
        <v>156</v>
      </c>
      <c r="K162" s="14"/>
      <c r="L162" s="14"/>
      <c r="M162" s="30"/>
    </row>
    <row r="163" spans="2:13" x14ac:dyDescent="0.25">
      <c r="B163" s="28" t="s">
        <v>154</v>
      </c>
      <c r="C163" s="29" t="s">
        <v>23</v>
      </c>
      <c r="D163" s="29" t="s">
        <v>50</v>
      </c>
      <c r="E163" s="29" t="s">
        <v>122</v>
      </c>
      <c r="F163" s="29"/>
      <c r="G163" s="29"/>
      <c r="H163" s="30"/>
      <c r="I163" s="49">
        <v>0.2</v>
      </c>
      <c r="J163" s="30" t="s">
        <v>156</v>
      </c>
      <c r="K163" s="14"/>
      <c r="L163" s="14"/>
      <c r="M163" s="30"/>
    </row>
    <row r="164" spans="2:13" x14ac:dyDescent="0.25">
      <c r="B164" s="28" t="s">
        <v>154</v>
      </c>
      <c r="C164" s="29" t="s">
        <v>23</v>
      </c>
      <c r="D164" s="29" t="s">
        <v>50</v>
      </c>
      <c r="E164" s="29" t="s">
        <v>166</v>
      </c>
      <c r="F164" s="29"/>
      <c r="G164" s="29"/>
      <c r="H164" s="30"/>
      <c r="I164" s="49">
        <v>0.6</v>
      </c>
      <c r="J164" s="30" t="s">
        <v>156</v>
      </c>
      <c r="K164" s="14"/>
      <c r="L164" s="14"/>
      <c r="M164" s="30"/>
    </row>
    <row r="165" spans="2:13" x14ac:dyDescent="0.25">
      <c r="B165" s="28" t="s">
        <v>154</v>
      </c>
      <c r="C165" s="29" t="s">
        <v>23</v>
      </c>
      <c r="D165" s="29" t="s">
        <v>50</v>
      </c>
      <c r="E165" s="29" t="s">
        <v>69</v>
      </c>
      <c r="F165" s="29"/>
      <c r="G165" s="29"/>
      <c r="H165" s="30"/>
      <c r="I165" s="49">
        <v>0.5</v>
      </c>
      <c r="J165" s="30" t="s">
        <v>156</v>
      </c>
      <c r="K165" s="14"/>
      <c r="L165" s="14"/>
      <c r="M165" s="30"/>
    </row>
    <row r="166" spans="2:13" x14ac:dyDescent="0.25">
      <c r="B166" s="28" t="s">
        <v>154</v>
      </c>
      <c r="C166" s="29" t="s">
        <v>23</v>
      </c>
      <c r="D166" s="29" t="s">
        <v>50</v>
      </c>
      <c r="E166" s="29" t="s">
        <v>167</v>
      </c>
      <c r="F166" s="29"/>
      <c r="G166" s="29"/>
      <c r="H166" s="30"/>
      <c r="I166" s="49">
        <v>0.5</v>
      </c>
      <c r="J166" s="30" t="s">
        <v>156</v>
      </c>
      <c r="K166" s="14"/>
      <c r="L166" s="14"/>
      <c r="M166" s="30"/>
    </row>
    <row r="167" spans="2:13" x14ac:dyDescent="0.25">
      <c r="B167" s="28" t="s">
        <v>154</v>
      </c>
      <c r="C167" s="29" t="s">
        <v>23</v>
      </c>
      <c r="D167" s="29" t="s">
        <v>50</v>
      </c>
      <c r="E167" s="29" t="s">
        <v>168</v>
      </c>
      <c r="F167" s="29"/>
      <c r="G167" s="29"/>
      <c r="H167" s="30"/>
      <c r="I167" s="49">
        <v>0.5</v>
      </c>
      <c r="J167" s="30" t="s">
        <v>156</v>
      </c>
      <c r="K167" s="14"/>
      <c r="L167" s="14"/>
      <c r="M167" s="30"/>
    </row>
    <row r="168" spans="2:13" x14ac:dyDescent="0.25">
      <c r="B168" s="28" t="s">
        <v>154</v>
      </c>
      <c r="C168" s="29" t="s">
        <v>23</v>
      </c>
      <c r="D168" s="29" t="s">
        <v>50</v>
      </c>
      <c r="E168" s="29" t="s">
        <v>169</v>
      </c>
      <c r="F168" s="29"/>
      <c r="G168" s="29"/>
      <c r="H168" s="30"/>
      <c r="I168" s="49">
        <v>0.5</v>
      </c>
      <c r="J168" s="30" t="s">
        <v>156</v>
      </c>
      <c r="K168" s="14"/>
      <c r="L168" s="14"/>
      <c r="M168" s="30"/>
    </row>
    <row r="169" spans="2:13" x14ac:dyDescent="0.25">
      <c r="B169" s="28" t="s">
        <v>154</v>
      </c>
      <c r="C169" s="29" t="s">
        <v>23</v>
      </c>
      <c r="D169" s="29" t="s">
        <v>80</v>
      </c>
      <c r="E169" s="29" t="s">
        <v>170</v>
      </c>
      <c r="F169" s="29"/>
      <c r="G169" s="29"/>
      <c r="H169" s="30"/>
      <c r="I169" s="49">
        <v>0.7</v>
      </c>
      <c r="J169" s="30" t="s">
        <v>156</v>
      </c>
      <c r="K169" s="14"/>
      <c r="L169" s="14"/>
      <c r="M169" s="30"/>
    </row>
    <row r="170" spans="2:13" x14ac:dyDescent="0.25">
      <c r="B170" s="28" t="s">
        <v>154</v>
      </c>
      <c r="C170" s="29" t="s">
        <v>23</v>
      </c>
      <c r="D170" s="29" t="s">
        <v>80</v>
      </c>
      <c r="E170" s="29" t="s">
        <v>171</v>
      </c>
      <c r="F170" s="29"/>
      <c r="G170" s="29"/>
      <c r="H170" s="30"/>
      <c r="I170" s="49">
        <v>0.7</v>
      </c>
      <c r="J170" s="30" t="s">
        <v>156</v>
      </c>
      <c r="K170" s="14"/>
      <c r="L170" s="14"/>
      <c r="M170" s="30"/>
    </row>
    <row r="171" spans="2:13" x14ac:dyDescent="0.25">
      <c r="B171" s="28" t="s">
        <v>154</v>
      </c>
      <c r="C171" s="29" t="s">
        <v>23</v>
      </c>
      <c r="D171" s="29" t="s">
        <v>80</v>
      </c>
      <c r="E171" s="29" t="s">
        <v>172</v>
      </c>
      <c r="F171" s="29"/>
      <c r="G171" s="29"/>
      <c r="H171" s="30"/>
      <c r="I171" s="49">
        <v>0.7</v>
      </c>
      <c r="J171" s="30" t="s">
        <v>156</v>
      </c>
      <c r="K171" s="14"/>
      <c r="L171" s="14"/>
      <c r="M171" s="30"/>
    </row>
    <row r="172" spans="2:13" x14ac:dyDescent="0.25">
      <c r="B172" s="28" t="s">
        <v>154</v>
      </c>
      <c r="C172" s="29" t="s">
        <v>23</v>
      </c>
      <c r="D172" s="29" t="s">
        <v>80</v>
      </c>
      <c r="E172" s="29" t="s">
        <v>173</v>
      </c>
      <c r="F172" s="29"/>
      <c r="G172" s="29"/>
      <c r="H172" s="30"/>
      <c r="I172" s="49">
        <v>0.7</v>
      </c>
      <c r="J172" s="30" t="s">
        <v>156</v>
      </c>
      <c r="K172" s="14"/>
      <c r="L172" s="14"/>
      <c r="M172" s="30"/>
    </row>
    <row r="173" spans="2:13" x14ac:dyDescent="0.25">
      <c r="B173" s="28" t="s">
        <v>154</v>
      </c>
      <c r="C173" s="29" t="s">
        <v>23</v>
      </c>
      <c r="D173" s="29" t="s">
        <v>80</v>
      </c>
      <c r="E173" s="29" t="s">
        <v>174</v>
      </c>
      <c r="F173" s="29"/>
      <c r="G173" s="29"/>
      <c r="H173" s="30"/>
      <c r="I173" s="49">
        <v>0.7</v>
      </c>
      <c r="J173" s="30" t="s">
        <v>156</v>
      </c>
      <c r="K173" s="14"/>
      <c r="L173" s="14"/>
      <c r="M173" s="30"/>
    </row>
    <row r="174" spans="2:13" x14ac:dyDescent="0.25">
      <c r="B174" s="28" t="s">
        <v>154</v>
      </c>
      <c r="C174" s="29" t="s">
        <v>23</v>
      </c>
      <c r="D174" s="29" t="s">
        <v>80</v>
      </c>
      <c r="E174" s="29" t="s">
        <v>175</v>
      </c>
      <c r="F174" s="29"/>
      <c r="G174" s="29"/>
      <c r="H174" s="30"/>
      <c r="I174" s="49">
        <v>0.7</v>
      </c>
      <c r="J174" s="30" t="s">
        <v>156</v>
      </c>
      <c r="K174" s="14"/>
      <c r="L174" s="14"/>
      <c r="M174" s="30"/>
    </row>
    <row r="175" spans="2:13" x14ac:dyDescent="0.25">
      <c r="B175" s="28" t="s">
        <v>154</v>
      </c>
      <c r="C175" s="29" t="s">
        <v>23</v>
      </c>
      <c r="D175" s="29" t="s">
        <v>80</v>
      </c>
      <c r="E175" s="29" t="s">
        <v>140</v>
      </c>
      <c r="F175" s="29"/>
      <c r="G175" s="29"/>
      <c r="H175" s="30"/>
      <c r="I175" s="49">
        <v>0.7</v>
      </c>
      <c r="J175" s="30" t="s">
        <v>156</v>
      </c>
      <c r="K175" s="14"/>
      <c r="L175" s="14"/>
      <c r="M175" s="30"/>
    </row>
    <row r="176" spans="2:13" x14ac:dyDescent="0.25">
      <c r="B176" s="28" t="s">
        <v>154</v>
      </c>
      <c r="C176" s="29" t="s">
        <v>23</v>
      </c>
      <c r="D176" s="29" t="s">
        <v>80</v>
      </c>
      <c r="E176" s="29" t="s">
        <v>176</v>
      </c>
      <c r="F176" s="29"/>
      <c r="G176" s="29"/>
      <c r="H176" s="30"/>
      <c r="I176" s="49">
        <v>0.7</v>
      </c>
      <c r="J176" s="30" t="s">
        <v>156</v>
      </c>
      <c r="K176" s="14"/>
      <c r="L176" s="14"/>
      <c r="M176" s="30"/>
    </row>
    <row r="177" spans="2:13" x14ac:dyDescent="0.25">
      <c r="B177" s="28" t="s">
        <v>154</v>
      </c>
      <c r="C177" s="29" t="s">
        <v>23</v>
      </c>
      <c r="D177" s="29" t="s">
        <v>80</v>
      </c>
      <c r="E177" s="29" t="s">
        <v>177</v>
      </c>
      <c r="F177" s="29"/>
      <c r="G177" s="29"/>
      <c r="H177" s="30"/>
      <c r="I177" s="49">
        <v>0.7</v>
      </c>
      <c r="J177" s="30" t="s">
        <v>156</v>
      </c>
      <c r="K177" s="14"/>
      <c r="L177" s="14"/>
      <c r="M177" s="30"/>
    </row>
    <row r="178" spans="2:13" x14ac:dyDescent="0.25">
      <c r="B178" s="28" t="s">
        <v>154</v>
      </c>
      <c r="C178" s="29" t="s">
        <v>23</v>
      </c>
      <c r="D178" s="29" t="s">
        <v>83</v>
      </c>
      <c r="E178" s="29" t="s">
        <v>178</v>
      </c>
      <c r="F178" s="29"/>
      <c r="G178" s="29"/>
      <c r="H178" s="30"/>
      <c r="I178" s="49">
        <v>0.7</v>
      </c>
      <c r="J178" s="30" t="s">
        <v>156</v>
      </c>
      <c r="K178" s="14"/>
      <c r="L178" s="14"/>
      <c r="M178" s="30"/>
    </row>
    <row r="179" spans="2:13" x14ac:dyDescent="0.25">
      <c r="B179" s="28" t="s">
        <v>154</v>
      </c>
      <c r="C179" s="29" t="s">
        <v>23</v>
      </c>
      <c r="D179" s="29" t="s">
        <v>83</v>
      </c>
      <c r="E179" s="29" t="s">
        <v>179</v>
      </c>
      <c r="F179" s="29"/>
      <c r="G179" s="29"/>
      <c r="H179" s="30"/>
      <c r="I179" s="49">
        <v>0.7</v>
      </c>
      <c r="J179" s="30" t="s">
        <v>156</v>
      </c>
      <c r="K179" s="14"/>
      <c r="L179" s="14"/>
      <c r="M179" s="30"/>
    </row>
    <row r="180" spans="2:13" x14ac:dyDescent="0.25">
      <c r="B180" s="28" t="s">
        <v>154</v>
      </c>
      <c r="C180" s="29" t="s">
        <v>23</v>
      </c>
      <c r="D180" s="29" t="s">
        <v>83</v>
      </c>
      <c r="E180" s="29" t="s">
        <v>180</v>
      </c>
      <c r="F180" s="29"/>
      <c r="G180" s="29"/>
      <c r="H180" s="30"/>
      <c r="I180" s="49">
        <v>0.7</v>
      </c>
      <c r="J180" s="30" t="s">
        <v>156</v>
      </c>
      <c r="K180" s="14"/>
      <c r="L180" s="14"/>
      <c r="M180" s="30"/>
    </row>
    <row r="181" spans="2:13" x14ac:dyDescent="0.25">
      <c r="B181" s="28" t="s">
        <v>154</v>
      </c>
      <c r="C181" s="29" t="s">
        <v>23</v>
      </c>
      <c r="D181" s="29" t="s">
        <v>83</v>
      </c>
      <c r="E181" s="29" t="s">
        <v>181</v>
      </c>
      <c r="F181" s="29"/>
      <c r="G181" s="29"/>
      <c r="H181" s="30"/>
      <c r="I181" s="49">
        <v>0.7</v>
      </c>
      <c r="J181" s="30" t="s">
        <v>156</v>
      </c>
      <c r="K181" s="14"/>
      <c r="L181" s="14"/>
      <c r="M181" s="30"/>
    </row>
    <row r="182" spans="2:13" x14ac:dyDescent="0.25">
      <c r="B182" s="28" t="s">
        <v>154</v>
      </c>
      <c r="C182" s="29" t="s">
        <v>23</v>
      </c>
      <c r="D182" s="29" t="s">
        <v>91</v>
      </c>
      <c r="E182" s="29" t="s">
        <v>182</v>
      </c>
      <c r="F182" s="29"/>
      <c r="G182" s="29"/>
      <c r="H182" s="30"/>
      <c r="I182" s="49">
        <v>0.7</v>
      </c>
      <c r="J182" s="30" t="s">
        <v>156</v>
      </c>
      <c r="K182" s="14"/>
      <c r="L182" s="14"/>
      <c r="M182" s="30"/>
    </row>
    <row r="183" spans="2:13" x14ac:dyDescent="0.25">
      <c r="B183" s="28" t="s">
        <v>154</v>
      </c>
      <c r="C183" s="29" t="s">
        <v>23</v>
      </c>
      <c r="D183" s="29" t="s">
        <v>91</v>
      </c>
      <c r="E183" s="29" t="s">
        <v>183</v>
      </c>
      <c r="F183" s="29"/>
      <c r="G183" s="29"/>
      <c r="H183" s="30"/>
      <c r="I183" s="49">
        <v>0.7</v>
      </c>
      <c r="J183" s="30" t="s">
        <v>156</v>
      </c>
      <c r="K183" s="14"/>
      <c r="L183" s="14"/>
      <c r="M183" s="30"/>
    </row>
    <row r="184" spans="2:13" x14ac:dyDescent="0.25">
      <c r="B184" s="28" t="s">
        <v>154</v>
      </c>
      <c r="C184" s="29" t="s">
        <v>23</v>
      </c>
      <c r="D184" s="29" t="s">
        <v>91</v>
      </c>
      <c r="E184" s="29" t="s">
        <v>184</v>
      </c>
      <c r="F184" s="29"/>
      <c r="G184" s="29"/>
      <c r="H184" s="30"/>
      <c r="I184" s="49">
        <v>0.7</v>
      </c>
      <c r="J184" s="30" t="s">
        <v>156</v>
      </c>
      <c r="K184" s="14"/>
      <c r="L184" s="14"/>
      <c r="M184" s="30"/>
    </row>
    <row r="185" spans="2:13" x14ac:dyDescent="0.25">
      <c r="B185" s="28" t="s">
        <v>154</v>
      </c>
      <c r="C185" s="29" t="s">
        <v>23</v>
      </c>
      <c r="D185" s="29" t="s">
        <v>93</v>
      </c>
      <c r="E185" s="29" t="s">
        <v>185</v>
      </c>
      <c r="F185" s="29"/>
      <c r="G185" s="29"/>
      <c r="H185" s="30"/>
      <c r="I185" s="49">
        <v>0.7</v>
      </c>
      <c r="J185" s="30" t="s">
        <v>156</v>
      </c>
      <c r="K185" s="14"/>
      <c r="L185" s="14"/>
      <c r="M185" s="30"/>
    </row>
    <row r="186" spans="2:13" x14ac:dyDescent="0.25">
      <c r="B186" s="28" t="s">
        <v>154</v>
      </c>
      <c r="C186" s="29" t="s">
        <v>23</v>
      </c>
      <c r="D186" s="29" t="s">
        <v>93</v>
      </c>
      <c r="E186" s="29" t="s">
        <v>186</v>
      </c>
      <c r="F186" s="29"/>
      <c r="G186" s="29"/>
      <c r="H186" s="30"/>
      <c r="I186" s="49">
        <v>0.7</v>
      </c>
      <c r="J186" s="30" t="s">
        <v>156</v>
      </c>
      <c r="K186" s="14"/>
      <c r="L186" s="14"/>
      <c r="M186" s="30"/>
    </row>
    <row r="187" spans="2:13" x14ac:dyDescent="0.25">
      <c r="B187" s="28" t="s">
        <v>154</v>
      </c>
      <c r="C187" s="29" t="s">
        <v>23</v>
      </c>
      <c r="D187" s="29" t="s">
        <v>95</v>
      </c>
      <c r="E187" s="29" t="s">
        <v>187</v>
      </c>
      <c r="F187" s="29"/>
      <c r="G187" s="29"/>
      <c r="H187" s="30"/>
      <c r="I187" s="49">
        <v>0.2</v>
      </c>
      <c r="J187" s="30" t="s">
        <v>156</v>
      </c>
      <c r="K187" s="14"/>
      <c r="L187" s="14"/>
      <c r="M187" s="30"/>
    </row>
    <row r="188" spans="2:13" x14ac:dyDescent="0.25">
      <c r="B188" s="28" t="s">
        <v>154</v>
      </c>
      <c r="C188" s="29" t="s">
        <v>23</v>
      </c>
      <c r="D188" s="29" t="s">
        <v>95</v>
      </c>
      <c r="E188" s="29" t="s">
        <v>188</v>
      </c>
      <c r="F188" s="29"/>
      <c r="G188" s="29"/>
      <c r="H188" s="30"/>
      <c r="I188" s="49">
        <v>0.2</v>
      </c>
      <c r="J188" s="30" t="s">
        <v>156</v>
      </c>
      <c r="K188" s="14"/>
      <c r="L188" s="14"/>
      <c r="M188" s="30"/>
    </row>
    <row r="189" spans="2:13" x14ac:dyDescent="0.25">
      <c r="B189" s="28" t="s">
        <v>154</v>
      </c>
      <c r="C189" s="29" t="s">
        <v>23</v>
      </c>
      <c r="D189" s="29" t="s">
        <v>97</v>
      </c>
      <c r="E189" s="29" t="s">
        <v>189</v>
      </c>
      <c r="F189" s="29"/>
      <c r="G189" s="29"/>
      <c r="H189" s="30"/>
      <c r="I189" s="49">
        <v>0.4</v>
      </c>
      <c r="J189" s="30" t="s">
        <v>156</v>
      </c>
      <c r="K189" s="14"/>
      <c r="L189" s="14"/>
      <c r="M189" s="30"/>
    </row>
    <row r="190" spans="2:13" x14ac:dyDescent="0.25">
      <c r="B190" s="28" t="s">
        <v>154</v>
      </c>
      <c r="C190" s="29" t="s">
        <v>23</v>
      </c>
      <c r="D190" s="29" t="s">
        <v>97</v>
      </c>
      <c r="E190" s="29" t="s">
        <v>99</v>
      </c>
      <c r="F190" s="29"/>
      <c r="G190" s="29"/>
      <c r="H190" s="30"/>
      <c r="I190" s="49">
        <v>0.1</v>
      </c>
      <c r="J190" s="30" t="s">
        <v>156</v>
      </c>
      <c r="K190" s="14"/>
      <c r="L190" s="14"/>
      <c r="M190" s="30"/>
    </row>
    <row r="191" spans="2:13" x14ac:dyDescent="0.25">
      <c r="B191" s="28" t="s">
        <v>154</v>
      </c>
      <c r="C191" s="29" t="s">
        <v>23</v>
      </c>
      <c r="D191" s="29" t="s">
        <v>97</v>
      </c>
      <c r="E191" s="29" t="s">
        <v>190</v>
      </c>
      <c r="F191" s="29"/>
      <c r="G191" s="29"/>
      <c r="H191" s="30"/>
      <c r="I191" s="49">
        <v>0.1</v>
      </c>
      <c r="J191" s="30" t="s">
        <v>156</v>
      </c>
      <c r="K191" s="14"/>
      <c r="L191" s="14"/>
      <c r="M191" s="30"/>
    </row>
    <row r="192" spans="2:13" x14ac:dyDescent="0.25">
      <c r="B192" s="28" t="s">
        <v>154</v>
      </c>
      <c r="C192" s="29" t="s">
        <v>23</v>
      </c>
      <c r="D192" s="29" t="s">
        <v>97</v>
      </c>
      <c r="E192" s="29" t="s">
        <v>191</v>
      </c>
      <c r="F192" s="29"/>
      <c r="G192" s="29"/>
      <c r="H192" s="30"/>
      <c r="I192" s="49">
        <v>0.3</v>
      </c>
      <c r="J192" s="30" t="s">
        <v>156</v>
      </c>
      <c r="K192" s="14"/>
      <c r="L192" s="14"/>
      <c r="M192" s="30"/>
    </row>
    <row r="193" spans="2:13" x14ac:dyDescent="0.25">
      <c r="B193" s="28" t="s">
        <v>154</v>
      </c>
      <c r="C193" s="29" t="s">
        <v>23</v>
      </c>
      <c r="D193" s="29" t="s">
        <v>97</v>
      </c>
      <c r="E193" s="29" t="s">
        <v>192</v>
      </c>
      <c r="F193" s="29"/>
      <c r="G193" s="29"/>
      <c r="H193" s="30"/>
      <c r="I193" s="49">
        <v>0.3</v>
      </c>
      <c r="J193" s="30" t="s">
        <v>156</v>
      </c>
      <c r="K193" s="14"/>
      <c r="L193" s="14"/>
      <c r="M193" s="30"/>
    </row>
    <row r="194" spans="2:13" x14ac:dyDescent="0.25">
      <c r="B194" s="28" t="s">
        <v>154</v>
      </c>
      <c r="C194" s="29" t="s">
        <v>23</v>
      </c>
      <c r="D194" s="29" t="s">
        <v>97</v>
      </c>
      <c r="E194" s="29" t="s">
        <v>193</v>
      </c>
      <c r="F194" s="29"/>
      <c r="G194" s="29"/>
      <c r="H194" s="30"/>
      <c r="I194" s="49">
        <v>0.3</v>
      </c>
      <c r="J194" s="30" t="s">
        <v>156</v>
      </c>
      <c r="K194" s="14"/>
      <c r="L194" s="14"/>
      <c r="M194" s="30"/>
    </row>
    <row r="195" spans="2:13" x14ac:dyDescent="0.25">
      <c r="B195" s="28" t="s">
        <v>154</v>
      </c>
      <c r="C195" s="29" t="s">
        <v>23</v>
      </c>
      <c r="D195" s="29" t="s">
        <v>97</v>
      </c>
      <c r="E195" s="29" t="s">
        <v>150</v>
      </c>
      <c r="F195" s="29"/>
      <c r="G195" s="29"/>
      <c r="H195" s="30"/>
      <c r="I195" s="49">
        <v>0.7</v>
      </c>
      <c r="J195" s="30" t="s">
        <v>156</v>
      </c>
      <c r="K195" s="14"/>
      <c r="L195" s="14"/>
      <c r="M195" s="30"/>
    </row>
    <row r="196" spans="2:13" x14ac:dyDescent="0.25">
      <c r="B196" s="28" t="s">
        <v>154</v>
      </c>
      <c r="C196" s="29" t="s">
        <v>23</v>
      </c>
      <c r="D196" s="29" t="s">
        <v>97</v>
      </c>
      <c r="E196" s="29" t="s">
        <v>152</v>
      </c>
      <c r="F196" s="29"/>
      <c r="G196" s="29"/>
      <c r="H196" s="30"/>
      <c r="I196" s="49">
        <v>0.7</v>
      </c>
      <c r="J196" s="30" t="s">
        <v>156</v>
      </c>
      <c r="K196" s="14"/>
      <c r="L196" s="14"/>
      <c r="M196" s="30"/>
    </row>
    <row r="197" spans="2:13" x14ac:dyDescent="0.25">
      <c r="B197" s="28" t="s">
        <v>154</v>
      </c>
      <c r="C197" s="29" t="s">
        <v>23</v>
      </c>
      <c r="D197" s="29" t="s">
        <v>97</v>
      </c>
      <c r="E197" s="29" t="s">
        <v>194</v>
      </c>
      <c r="F197" s="29"/>
      <c r="G197" s="29"/>
      <c r="H197" s="30"/>
      <c r="I197" s="49">
        <v>0.4</v>
      </c>
      <c r="J197" s="30" t="s">
        <v>156</v>
      </c>
      <c r="K197" s="14"/>
      <c r="L197" s="14"/>
      <c r="M197" s="30"/>
    </row>
    <row r="198" spans="2:13" x14ac:dyDescent="0.25">
      <c r="B198" s="28" t="s">
        <v>154</v>
      </c>
      <c r="C198" s="29" t="s">
        <v>23</v>
      </c>
      <c r="D198" s="29" t="s">
        <v>97</v>
      </c>
      <c r="E198" s="29" t="s">
        <v>195</v>
      </c>
      <c r="F198" s="29"/>
      <c r="G198" s="29"/>
      <c r="H198" s="30"/>
      <c r="I198" s="49">
        <v>0.7</v>
      </c>
      <c r="J198" s="30" t="s">
        <v>156</v>
      </c>
      <c r="K198" s="14"/>
      <c r="L198" s="14"/>
      <c r="M198" s="30"/>
    </row>
    <row r="199" spans="2:13" x14ac:dyDescent="0.25">
      <c r="B199" s="28" t="s">
        <v>154</v>
      </c>
      <c r="C199" s="29" t="s">
        <v>23</v>
      </c>
      <c r="D199" s="29" t="s">
        <v>97</v>
      </c>
      <c r="E199" s="29" t="s">
        <v>196</v>
      </c>
      <c r="F199" s="29"/>
      <c r="G199" s="29"/>
      <c r="H199" s="30"/>
      <c r="I199" s="49">
        <v>0.7</v>
      </c>
      <c r="J199" s="30" t="s">
        <v>156</v>
      </c>
      <c r="K199" s="14"/>
      <c r="L199" s="14"/>
      <c r="M199" s="30"/>
    </row>
    <row r="200" spans="2:13" x14ac:dyDescent="0.25">
      <c r="B200" s="28" t="s">
        <v>154</v>
      </c>
      <c r="C200" s="29" t="s">
        <v>23</v>
      </c>
      <c r="D200" s="29" t="s">
        <v>97</v>
      </c>
      <c r="E200" s="29" t="s">
        <v>197</v>
      </c>
      <c r="F200" s="29"/>
      <c r="G200" s="29"/>
      <c r="H200" s="30"/>
      <c r="I200" s="49">
        <v>0.7</v>
      </c>
      <c r="J200" s="30" t="s">
        <v>156</v>
      </c>
      <c r="K200" s="14"/>
      <c r="L200" s="14"/>
      <c r="M200" s="30"/>
    </row>
    <row r="201" spans="2:13" x14ac:dyDescent="0.25">
      <c r="B201" s="28" t="s">
        <v>154</v>
      </c>
      <c r="C201" s="29" t="s">
        <v>23</v>
      </c>
      <c r="D201" s="29" t="s">
        <v>97</v>
      </c>
      <c r="E201" s="29" t="s">
        <v>198</v>
      </c>
      <c r="F201" s="29"/>
      <c r="G201" s="29"/>
      <c r="H201" s="30"/>
      <c r="I201" s="49">
        <v>0.7</v>
      </c>
      <c r="J201" s="30" t="s">
        <v>156</v>
      </c>
      <c r="K201" s="14"/>
      <c r="L201" s="14"/>
      <c r="M201" s="30"/>
    </row>
    <row r="202" spans="2:13" x14ac:dyDescent="0.25">
      <c r="B202" s="28" t="s">
        <v>154</v>
      </c>
      <c r="C202" s="29" t="s">
        <v>23</v>
      </c>
      <c r="D202" s="29" t="s">
        <v>97</v>
      </c>
      <c r="E202" s="29" t="s">
        <v>199</v>
      </c>
      <c r="F202" s="29"/>
      <c r="G202" s="29"/>
      <c r="H202" s="30"/>
      <c r="I202" s="49">
        <v>0.7</v>
      </c>
      <c r="J202" s="30" t="s">
        <v>156</v>
      </c>
      <c r="K202" s="14"/>
      <c r="L202" s="14"/>
      <c r="M202" s="30"/>
    </row>
    <row r="203" spans="2:13" x14ac:dyDescent="0.25">
      <c r="B203" s="28" t="s">
        <v>154</v>
      </c>
      <c r="C203" s="29" t="s">
        <v>23</v>
      </c>
      <c r="D203" s="29" t="s">
        <v>97</v>
      </c>
      <c r="E203" s="29" t="s">
        <v>200</v>
      </c>
      <c r="F203" s="29"/>
      <c r="G203" s="29"/>
      <c r="H203" s="30"/>
      <c r="I203" s="49">
        <v>0.7</v>
      </c>
      <c r="J203" s="30" t="s">
        <v>156</v>
      </c>
      <c r="K203" s="14"/>
      <c r="L203" s="14"/>
      <c r="M203" s="30"/>
    </row>
    <row r="204" spans="2:13" x14ac:dyDescent="0.25">
      <c r="B204" s="28" t="s">
        <v>154</v>
      </c>
      <c r="C204" s="29" t="s">
        <v>23</v>
      </c>
      <c r="D204" s="29" t="s">
        <v>97</v>
      </c>
      <c r="E204" s="29" t="s">
        <v>201</v>
      </c>
      <c r="F204" s="29"/>
      <c r="G204" s="29"/>
      <c r="H204" s="30"/>
      <c r="I204" s="49">
        <v>0.7</v>
      </c>
      <c r="J204" s="30" t="s">
        <v>156</v>
      </c>
      <c r="K204" s="14"/>
      <c r="L204" s="14"/>
      <c r="M204" s="30"/>
    </row>
    <row r="205" spans="2:13" x14ac:dyDescent="0.25">
      <c r="B205" s="28" t="s">
        <v>154</v>
      </c>
      <c r="C205" s="29" t="s">
        <v>23</v>
      </c>
      <c r="D205" s="29" t="s">
        <v>97</v>
      </c>
      <c r="E205" s="29" t="s">
        <v>202</v>
      </c>
      <c r="F205" s="29"/>
      <c r="G205" s="29"/>
      <c r="H205" s="30"/>
      <c r="I205" s="49">
        <v>0.7</v>
      </c>
      <c r="J205" s="30" t="s">
        <v>156</v>
      </c>
      <c r="K205" s="14"/>
      <c r="L205" s="14"/>
      <c r="M205" s="30"/>
    </row>
    <row r="206" spans="2:13" x14ac:dyDescent="0.25">
      <c r="B206" s="28" t="s">
        <v>154</v>
      </c>
      <c r="C206" s="29" t="s">
        <v>23</v>
      </c>
      <c r="D206" s="29" t="s">
        <v>97</v>
      </c>
      <c r="E206" s="29" t="s">
        <v>203</v>
      </c>
      <c r="F206" s="29"/>
      <c r="G206" s="29"/>
      <c r="H206" s="30"/>
      <c r="I206" s="49">
        <v>0.7</v>
      </c>
      <c r="J206" s="30" t="s">
        <v>156</v>
      </c>
      <c r="K206" s="14"/>
      <c r="L206" s="14"/>
      <c r="M206" s="30"/>
    </row>
    <row r="207" spans="2:13" x14ac:dyDescent="0.25">
      <c r="B207" s="28" t="s">
        <v>154</v>
      </c>
      <c r="C207" s="29" t="s">
        <v>23</v>
      </c>
      <c r="D207" s="29" t="s">
        <v>115</v>
      </c>
      <c r="E207" s="29" t="s">
        <v>204</v>
      </c>
      <c r="F207" s="29"/>
      <c r="G207" s="29"/>
      <c r="H207" s="30"/>
      <c r="I207" s="49">
        <v>0.2</v>
      </c>
      <c r="J207" s="30" t="s">
        <v>156</v>
      </c>
      <c r="K207" s="14"/>
      <c r="L207" s="14"/>
      <c r="M207" s="30"/>
    </row>
    <row r="208" spans="2:13" x14ac:dyDescent="0.25">
      <c r="B208" s="28" t="s">
        <v>154</v>
      </c>
      <c r="C208" s="29" t="s">
        <v>23</v>
      </c>
      <c r="D208" s="29" t="s">
        <v>115</v>
      </c>
      <c r="E208" s="29" t="s">
        <v>205</v>
      </c>
      <c r="F208" s="29"/>
      <c r="G208" s="29"/>
      <c r="H208" s="30"/>
      <c r="I208" s="49">
        <v>0.2</v>
      </c>
      <c r="J208" s="30" t="s">
        <v>156</v>
      </c>
      <c r="K208" s="14"/>
      <c r="L208" s="14"/>
      <c r="M208" s="30"/>
    </row>
    <row r="209" spans="2:13" s="6" customFormat="1" x14ac:dyDescent="0.25">
      <c r="B209" s="28" t="s">
        <v>206</v>
      </c>
      <c r="C209" s="9" t="s">
        <v>207</v>
      </c>
      <c r="D209" s="8" t="s">
        <v>14</v>
      </c>
      <c r="E209" s="31" t="s">
        <v>207</v>
      </c>
      <c r="F209" s="27"/>
      <c r="G209" s="27"/>
      <c r="H209" s="27"/>
      <c r="I209" s="48"/>
      <c r="J209" s="29"/>
      <c r="K209" s="14"/>
      <c r="L209" s="14"/>
      <c r="M209" s="27"/>
    </row>
    <row r="210" spans="2:13" s="6" customFormat="1" x14ac:dyDescent="0.25">
      <c r="B210" s="28" t="s">
        <v>206</v>
      </c>
      <c r="C210" s="8" t="s">
        <v>14</v>
      </c>
      <c r="D210" s="8" t="s">
        <v>14</v>
      </c>
      <c r="E210" s="29" t="s">
        <v>15</v>
      </c>
      <c r="F210" s="27"/>
      <c r="G210" s="27"/>
      <c r="H210" s="27">
        <v>5</v>
      </c>
      <c r="I210" s="48">
        <v>1</v>
      </c>
      <c r="J210" s="30" t="s">
        <v>16</v>
      </c>
      <c r="K210" s="16">
        <v>45947</v>
      </c>
      <c r="L210" s="14"/>
      <c r="M210" s="27"/>
    </row>
    <row r="211" spans="2:13" s="6" customFormat="1" x14ac:dyDescent="0.25">
      <c r="B211" s="28" t="s">
        <v>206</v>
      </c>
      <c r="C211" s="8" t="s">
        <v>14</v>
      </c>
      <c r="D211" s="8" t="s">
        <v>14</v>
      </c>
      <c r="E211" s="29" t="s">
        <v>18</v>
      </c>
      <c r="F211" s="27"/>
      <c r="G211" s="27"/>
      <c r="H211" s="27"/>
      <c r="I211" s="48">
        <v>1</v>
      </c>
      <c r="J211" s="30" t="s">
        <v>26</v>
      </c>
      <c r="K211" s="16"/>
      <c r="L211" s="16">
        <v>46104</v>
      </c>
      <c r="M211"/>
    </row>
    <row r="212" spans="2:13" s="6" customFormat="1" x14ac:dyDescent="0.25">
      <c r="B212" s="28" t="s">
        <v>206</v>
      </c>
      <c r="C212" s="8" t="s">
        <v>14</v>
      </c>
      <c r="D212" s="8" t="s">
        <v>14</v>
      </c>
      <c r="E212" s="29" t="s">
        <v>20</v>
      </c>
      <c r="F212" s="27"/>
      <c r="G212" s="27"/>
      <c r="H212" s="27"/>
      <c r="I212" s="48">
        <v>1</v>
      </c>
      <c r="J212" s="30" t="s">
        <v>16</v>
      </c>
      <c r="K212" s="16"/>
      <c r="L212" s="16">
        <v>46104</v>
      </c>
      <c r="M212"/>
    </row>
    <row r="213" spans="2:13" s="6" customFormat="1" x14ac:dyDescent="0.25">
      <c r="B213" s="28" t="s">
        <v>206</v>
      </c>
      <c r="C213" s="8" t="s">
        <v>14</v>
      </c>
      <c r="D213" s="8" t="s">
        <v>14</v>
      </c>
      <c r="E213" s="29" t="s">
        <v>21</v>
      </c>
      <c r="F213" s="27"/>
      <c r="G213" s="27"/>
      <c r="H213" s="27"/>
      <c r="I213" s="48">
        <v>1</v>
      </c>
      <c r="J213" s="30" t="s">
        <v>26</v>
      </c>
      <c r="K213" s="16"/>
      <c r="L213" s="16">
        <v>46104</v>
      </c>
      <c r="M213"/>
    </row>
    <row r="214" spans="2:13" s="6" customFormat="1" x14ac:dyDescent="0.25">
      <c r="B214" s="28" t="s">
        <v>206</v>
      </c>
      <c r="C214" s="8" t="s">
        <v>14</v>
      </c>
      <c r="D214" s="8" t="s">
        <v>14</v>
      </c>
      <c r="E214" s="29" t="s">
        <v>22</v>
      </c>
      <c r="F214" s="27"/>
      <c r="G214" s="27"/>
      <c r="H214" s="27"/>
      <c r="I214" s="48">
        <v>1</v>
      </c>
      <c r="J214" s="30" t="s">
        <v>16</v>
      </c>
      <c r="K214" s="16"/>
      <c r="L214" s="16">
        <v>46104</v>
      </c>
      <c r="M214" s="27"/>
    </row>
    <row r="215" spans="2:13" x14ac:dyDescent="0.25">
      <c r="B215" s="28" t="s">
        <v>206</v>
      </c>
      <c r="C215" s="29" t="s">
        <v>23</v>
      </c>
      <c r="D215" s="29" t="s">
        <v>24</v>
      </c>
      <c r="E215" s="29" t="s">
        <v>25</v>
      </c>
      <c r="F215" s="29"/>
      <c r="G215" s="29"/>
      <c r="H215" s="30"/>
      <c r="I215" s="49"/>
      <c r="J215" s="30"/>
      <c r="K215" s="14"/>
      <c r="L215" s="14"/>
      <c r="M215" s="30"/>
    </row>
    <row r="216" spans="2:13" x14ac:dyDescent="0.25">
      <c r="B216" s="28" t="s">
        <v>206</v>
      </c>
      <c r="C216" s="29" t="s">
        <v>23</v>
      </c>
      <c r="D216" s="29" t="s">
        <v>28</v>
      </c>
      <c r="E216" s="29" t="s">
        <v>29</v>
      </c>
      <c r="F216" s="29"/>
      <c r="G216" s="29"/>
      <c r="H216" s="30"/>
      <c r="I216" s="49"/>
      <c r="J216" s="30"/>
      <c r="K216" s="14"/>
      <c r="L216" s="14"/>
      <c r="M216" s="30"/>
    </row>
    <row r="217" spans="2:13" x14ac:dyDescent="0.25">
      <c r="B217" s="28" t="s">
        <v>206</v>
      </c>
      <c r="C217" s="29" t="s">
        <v>23</v>
      </c>
      <c r="D217" s="29" t="s">
        <v>32</v>
      </c>
      <c r="E217" s="29" t="s">
        <v>33</v>
      </c>
      <c r="F217" s="29"/>
      <c r="G217" s="29"/>
      <c r="H217" s="30"/>
      <c r="I217" s="49"/>
      <c r="J217" s="30"/>
      <c r="K217" s="14"/>
      <c r="L217" s="14"/>
      <c r="M217" s="30"/>
    </row>
    <row r="218" spans="2:13" x14ac:dyDescent="0.25">
      <c r="B218" s="28" t="s">
        <v>206</v>
      </c>
      <c r="C218" s="29" t="s">
        <v>23</v>
      </c>
      <c r="D218" s="29" t="s">
        <v>32</v>
      </c>
      <c r="E218" s="29" t="s">
        <v>38</v>
      </c>
      <c r="F218" s="29"/>
      <c r="G218" s="29"/>
      <c r="H218" s="30"/>
      <c r="I218" s="49"/>
      <c r="J218" s="30"/>
      <c r="K218" s="14"/>
      <c r="L218" s="14"/>
      <c r="M218" s="30"/>
    </row>
    <row r="219" spans="2:13" x14ac:dyDescent="0.25">
      <c r="B219" s="28" t="s">
        <v>206</v>
      </c>
      <c r="C219" s="29" t="s">
        <v>23</v>
      </c>
      <c r="D219" s="29" t="s">
        <v>32</v>
      </c>
      <c r="E219" s="29" t="s">
        <v>157</v>
      </c>
      <c r="F219" s="29"/>
      <c r="G219" s="29"/>
      <c r="H219" s="30"/>
      <c r="I219" s="49"/>
      <c r="J219" s="30"/>
      <c r="K219" s="14"/>
      <c r="L219" s="14"/>
      <c r="M219" s="30"/>
    </row>
    <row r="220" spans="2:13" x14ac:dyDescent="0.25">
      <c r="B220" s="28" t="s">
        <v>206</v>
      </c>
      <c r="C220" s="29" t="s">
        <v>23</v>
      </c>
      <c r="D220" s="29" t="s">
        <v>32</v>
      </c>
      <c r="E220" s="29" t="s">
        <v>158</v>
      </c>
      <c r="F220" s="29"/>
      <c r="G220" s="29"/>
      <c r="H220" s="30"/>
      <c r="I220" s="49"/>
      <c r="J220" s="30"/>
      <c r="K220" s="14"/>
      <c r="L220" s="14"/>
      <c r="M220" s="30"/>
    </row>
    <row r="221" spans="2:13" x14ac:dyDescent="0.25">
      <c r="B221" s="28" t="s">
        <v>206</v>
      </c>
      <c r="C221" s="29" t="s">
        <v>23</v>
      </c>
      <c r="D221" s="29" t="s">
        <v>39</v>
      </c>
      <c r="E221" s="29" t="s">
        <v>40</v>
      </c>
      <c r="F221" s="29"/>
      <c r="G221" s="29"/>
      <c r="H221" s="30"/>
      <c r="I221" s="49"/>
      <c r="J221" s="30"/>
      <c r="K221" s="14"/>
      <c r="L221" s="14"/>
      <c r="M221" s="30"/>
    </row>
    <row r="222" spans="2:13" x14ac:dyDescent="0.25">
      <c r="B222" s="28" t="s">
        <v>206</v>
      </c>
      <c r="C222" s="29" t="s">
        <v>23</v>
      </c>
      <c r="D222" s="29" t="s">
        <v>39</v>
      </c>
      <c r="E222" s="29" t="s">
        <v>42</v>
      </c>
      <c r="F222" s="29"/>
      <c r="G222" s="29"/>
      <c r="H222" s="30"/>
      <c r="I222" s="49"/>
      <c r="J222" s="30"/>
      <c r="K222" s="14"/>
      <c r="L222" s="14"/>
      <c r="M222" s="30"/>
    </row>
    <row r="223" spans="2:13" x14ac:dyDescent="0.25">
      <c r="B223" s="28" t="s">
        <v>206</v>
      </c>
      <c r="C223" s="29" t="s">
        <v>23</v>
      </c>
      <c r="D223" s="29" t="s">
        <v>43</v>
      </c>
      <c r="E223" s="29" t="s">
        <v>44</v>
      </c>
      <c r="F223" s="29"/>
      <c r="G223" s="29"/>
      <c r="H223" s="30"/>
      <c r="I223" s="49"/>
      <c r="J223" s="30"/>
      <c r="K223" s="14"/>
      <c r="L223" s="14"/>
      <c r="M223" s="30"/>
    </row>
    <row r="224" spans="2:13" x14ac:dyDescent="0.25">
      <c r="B224" s="28" t="s">
        <v>206</v>
      </c>
      <c r="C224" s="29" t="s">
        <v>23</v>
      </c>
      <c r="D224" s="29" t="s">
        <v>45</v>
      </c>
      <c r="E224" s="29" t="s">
        <v>159</v>
      </c>
      <c r="F224" s="29"/>
      <c r="G224" s="29"/>
      <c r="H224" s="30"/>
      <c r="I224" s="49"/>
      <c r="J224" s="30"/>
      <c r="K224" s="14"/>
      <c r="L224" s="14"/>
      <c r="M224" s="30"/>
    </row>
    <row r="225" spans="2:13" x14ac:dyDescent="0.25">
      <c r="B225" s="28" t="s">
        <v>206</v>
      </c>
      <c r="C225" s="29" t="s">
        <v>23</v>
      </c>
      <c r="D225" s="29" t="s">
        <v>45</v>
      </c>
      <c r="E225" s="29" t="s">
        <v>47</v>
      </c>
      <c r="F225" s="29"/>
      <c r="G225" s="29"/>
      <c r="H225" s="30"/>
      <c r="I225" s="49"/>
      <c r="J225" s="30"/>
      <c r="K225" s="14"/>
      <c r="L225" s="14"/>
      <c r="M225" s="30"/>
    </row>
    <row r="226" spans="2:13" x14ac:dyDescent="0.25">
      <c r="B226" s="28" t="s">
        <v>206</v>
      </c>
      <c r="C226" s="29" t="s">
        <v>23</v>
      </c>
      <c r="D226" s="29" t="s">
        <v>45</v>
      </c>
      <c r="E226" s="29" t="s">
        <v>160</v>
      </c>
      <c r="F226" s="29"/>
      <c r="G226" s="29"/>
      <c r="H226" s="30"/>
      <c r="I226" s="49"/>
      <c r="J226" s="30"/>
      <c r="K226" s="14"/>
      <c r="L226" s="14"/>
      <c r="M226" s="30"/>
    </row>
    <row r="227" spans="2:13" x14ac:dyDescent="0.25">
      <c r="B227" s="28" t="s">
        <v>206</v>
      </c>
      <c r="C227" s="29" t="s">
        <v>23</v>
      </c>
      <c r="D227" s="29" t="s">
        <v>45</v>
      </c>
      <c r="E227" s="29" t="s">
        <v>161</v>
      </c>
      <c r="F227" s="29"/>
      <c r="G227" s="29"/>
      <c r="H227" s="30"/>
      <c r="I227" s="49"/>
      <c r="J227" s="30"/>
      <c r="K227" s="14"/>
      <c r="L227" s="14"/>
      <c r="M227" s="30"/>
    </row>
    <row r="228" spans="2:13" x14ac:dyDescent="0.25">
      <c r="B228" s="28" t="s">
        <v>206</v>
      </c>
      <c r="C228" s="29" t="s">
        <v>23</v>
      </c>
      <c r="D228" s="29" t="s">
        <v>50</v>
      </c>
      <c r="E228" s="29" t="s">
        <v>124</v>
      </c>
      <c r="F228" s="29"/>
      <c r="G228" s="29"/>
      <c r="H228" s="30"/>
      <c r="I228" s="49"/>
      <c r="J228" s="30"/>
      <c r="K228" s="14"/>
      <c r="L228" s="14"/>
      <c r="M228" s="30"/>
    </row>
    <row r="229" spans="2:13" x14ac:dyDescent="0.25">
      <c r="B229" s="28" t="s">
        <v>206</v>
      </c>
      <c r="C229" s="29" t="s">
        <v>23</v>
      </c>
      <c r="D229" s="29" t="s">
        <v>50</v>
      </c>
      <c r="E229" s="29" t="s">
        <v>125</v>
      </c>
      <c r="F229" s="29"/>
      <c r="G229" s="29"/>
      <c r="H229" s="30"/>
      <c r="I229" s="49"/>
      <c r="J229" s="30"/>
      <c r="K229" s="14"/>
      <c r="L229" s="14"/>
      <c r="M229" s="30"/>
    </row>
    <row r="230" spans="2:13" x14ac:dyDescent="0.25">
      <c r="B230" s="28" t="s">
        <v>206</v>
      </c>
      <c r="C230" s="29" t="s">
        <v>23</v>
      </c>
      <c r="D230" s="29" t="s">
        <v>50</v>
      </c>
      <c r="E230" s="29" t="s">
        <v>126</v>
      </c>
      <c r="F230" s="29"/>
      <c r="G230" s="29"/>
      <c r="H230" s="30"/>
      <c r="I230" s="49"/>
      <c r="J230" s="30"/>
      <c r="K230" s="14"/>
      <c r="L230" s="14"/>
      <c r="M230" s="30"/>
    </row>
    <row r="231" spans="2:13" x14ac:dyDescent="0.25">
      <c r="B231" s="28" t="s">
        <v>206</v>
      </c>
      <c r="C231" s="29" t="s">
        <v>23</v>
      </c>
      <c r="D231" s="29" t="s">
        <v>50</v>
      </c>
      <c r="E231" s="29" t="s">
        <v>55</v>
      </c>
      <c r="F231" s="29"/>
      <c r="G231" s="29"/>
      <c r="H231" s="30"/>
      <c r="I231" s="49"/>
      <c r="J231" s="30"/>
      <c r="K231" s="14"/>
      <c r="L231" s="14"/>
      <c r="M231" s="30"/>
    </row>
    <row r="232" spans="2:13" x14ac:dyDescent="0.25">
      <c r="B232" s="28" t="s">
        <v>206</v>
      </c>
      <c r="C232" s="29" t="s">
        <v>23</v>
      </c>
      <c r="D232" s="29" t="s">
        <v>50</v>
      </c>
      <c r="E232" s="29" t="s">
        <v>127</v>
      </c>
      <c r="F232" s="29"/>
      <c r="G232" s="29"/>
      <c r="H232" s="30"/>
      <c r="I232" s="49"/>
      <c r="J232" s="30"/>
      <c r="K232" s="14"/>
      <c r="L232" s="14"/>
      <c r="M232" s="30"/>
    </row>
    <row r="233" spans="2:13" x14ac:dyDescent="0.25">
      <c r="B233" s="28" t="s">
        <v>206</v>
      </c>
      <c r="C233" s="29" t="s">
        <v>23</v>
      </c>
      <c r="D233" s="29" t="s">
        <v>50</v>
      </c>
      <c r="E233" s="29" t="s">
        <v>128</v>
      </c>
      <c r="F233" s="29"/>
      <c r="G233" s="29"/>
      <c r="H233" s="30"/>
      <c r="I233" s="49"/>
      <c r="J233" s="30"/>
      <c r="K233" s="14"/>
      <c r="L233" s="14"/>
      <c r="M233" s="30"/>
    </row>
    <row r="234" spans="2:13" x14ac:dyDescent="0.25">
      <c r="B234" s="28" t="s">
        <v>206</v>
      </c>
      <c r="C234" s="29" t="s">
        <v>23</v>
      </c>
      <c r="D234" s="29" t="s">
        <v>50</v>
      </c>
      <c r="E234" s="29" t="s">
        <v>129</v>
      </c>
      <c r="F234" s="29"/>
      <c r="G234" s="29"/>
      <c r="H234" s="30"/>
      <c r="I234" s="49"/>
      <c r="J234" s="30"/>
      <c r="K234" s="14"/>
      <c r="L234" s="14"/>
      <c r="M234" s="30"/>
    </row>
    <row r="235" spans="2:13" x14ac:dyDescent="0.25">
      <c r="B235" s="28" t="s">
        <v>206</v>
      </c>
      <c r="C235" s="29" t="s">
        <v>23</v>
      </c>
      <c r="D235" s="29" t="s">
        <v>50</v>
      </c>
      <c r="E235" s="29" t="s">
        <v>162</v>
      </c>
      <c r="F235" s="29"/>
      <c r="G235" s="29"/>
      <c r="H235" s="30"/>
      <c r="I235" s="49"/>
      <c r="J235" s="30"/>
      <c r="K235" s="14"/>
      <c r="L235" s="14"/>
      <c r="M235" s="30"/>
    </row>
    <row r="236" spans="2:13" x14ac:dyDescent="0.25">
      <c r="B236" s="28" t="s">
        <v>206</v>
      </c>
      <c r="C236" s="29" t="s">
        <v>23</v>
      </c>
      <c r="D236" s="29" t="s">
        <v>50</v>
      </c>
      <c r="E236" s="29" t="s">
        <v>163</v>
      </c>
      <c r="F236" s="29"/>
      <c r="G236" s="29"/>
      <c r="H236" s="30"/>
      <c r="I236" s="49"/>
      <c r="J236" s="30"/>
      <c r="K236" s="14"/>
      <c r="L236" s="14"/>
      <c r="M236" s="30"/>
    </row>
    <row r="237" spans="2:13" x14ac:dyDescent="0.25">
      <c r="B237" s="28" t="s">
        <v>206</v>
      </c>
      <c r="C237" s="29" t="s">
        <v>23</v>
      </c>
      <c r="D237" s="29" t="s">
        <v>50</v>
      </c>
      <c r="E237" s="29" t="s">
        <v>54</v>
      </c>
      <c r="F237" s="29"/>
      <c r="G237" s="29"/>
      <c r="H237" s="30"/>
      <c r="I237" s="49"/>
      <c r="J237" s="30"/>
      <c r="K237" s="14"/>
      <c r="L237" s="14"/>
      <c r="M237" s="30"/>
    </row>
    <row r="238" spans="2:13" x14ac:dyDescent="0.25">
      <c r="B238" s="28" t="s">
        <v>206</v>
      </c>
      <c r="C238" s="29" t="s">
        <v>23</v>
      </c>
      <c r="D238" s="29" t="s">
        <v>50</v>
      </c>
      <c r="E238" s="29" t="s">
        <v>130</v>
      </c>
      <c r="F238" s="29"/>
      <c r="G238" s="29"/>
      <c r="H238" s="30"/>
      <c r="I238" s="49"/>
      <c r="J238" s="30"/>
      <c r="K238" s="14"/>
      <c r="L238" s="14"/>
      <c r="M238" s="30"/>
    </row>
    <row r="239" spans="2:13" x14ac:dyDescent="0.25">
      <c r="B239" s="28" t="s">
        <v>206</v>
      </c>
      <c r="C239" s="29" t="s">
        <v>23</v>
      </c>
      <c r="D239" s="29" t="s">
        <v>50</v>
      </c>
      <c r="E239" s="29" t="s">
        <v>134</v>
      </c>
      <c r="F239" s="29"/>
      <c r="G239" s="29"/>
      <c r="H239" s="30"/>
      <c r="I239" s="49"/>
      <c r="J239" s="30"/>
      <c r="K239" s="14"/>
      <c r="L239" s="14"/>
      <c r="M239" s="30"/>
    </row>
    <row r="240" spans="2:13" x14ac:dyDescent="0.25">
      <c r="B240" s="28" t="s">
        <v>206</v>
      </c>
      <c r="C240" s="29" t="s">
        <v>23</v>
      </c>
      <c r="D240" s="29" t="s">
        <v>50</v>
      </c>
      <c r="E240" s="29" t="s">
        <v>164</v>
      </c>
      <c r="F240" s="29"/>
      <c r="G240" s="29"/>
      <c r="H240" s="30"/>
      <c r="I240" s="49"/>
      <c r="J240" s="30"/>
      <c r="K240" s="14"/>
      <c r="L240" s="14"/>
      <c r="M240" s="30"/>
    </row>
    <row r="241" spans="2:13" x14ac:dyDescent="0.25">
      <c r="B241" s="28" t="s">
        <v>206</v>
      </c>
      <c r="C241" s="29" t="s">
        <v>23</v>
      </c>
      <c r="D241" s="29" t="s">
        <v>50</v>
      </c>
      <c r="E241" s="29" t="s">
        <v>165</v>
      </c>
      <c r="F241" s="29"/>
      <c r="G241" s="29"/>
      <c r="H241" s="30"/>
      <c r="I241" s="49"/>
      <c r="J241" s="30"/>
      <c r="K241" s="14"/>
      <c r="L241" s="14"/>
      <c r="M241" s="30"/>
    </row>
    <row r="242" spans="2:13" x14ac:dyDescent="0.25">
      <c r="B242" s="28" t="s">
        <v>206</v>
      </c>
      <c r="C242" s="29" t="s">
        <v>23</v>
      </c>
      <c r="D242" s="29" t="s">
        <v>50</v>
      </c>
      <c r="E242" s="29" t="s">
        <v>131</v>
      </c>
      <c r="F242" s="29"/>
      <c r="G242" s="29"/>
      <c r="H242" s="30"/>
      <c r="I242" s="49"/>
      <c r="J242" s="30"/>
      <c r="K242" s="14"/>
      <c r="L242" s="14"/>
      <c r="M242" s="30"/>
    </row>
    <row r="243" spans="2:13" x14ac:dyDescent="0.25">
      <c r="B243" s="28" t="s">
        <v>206</v>
      </c>
      <c r="C243" s="29" t="s">
        <v>23</v>
      </c>
      <c r="D243" s="29" t="s">
        <v>50</v>
      </c>
      <c r="E243" s="29" t="s">
        <v>132</v>
      </c>
      <c r="F243" s="29"/>
      <c r="G243" s="29"/>
      <c r="H243" s="30"/>
      <c r="I243" s="49"/>
      <c r="J243" s="30"/>
      <c r="K243" s="14"/>
      <c r="L243" s="14"/>
      <c r="M243" s="30"/>
    </row>
    <row r="244" spans="2:13" x14ac:dyDescent="0.25">
      <c r="B244" s="28" t="s">
        <v>206</v>
      </c>
      <c r="C244" s="29" t="s">
        <v>23</v>
      </c>
      <c r="D244" s="29" t="s">
        <v>50</v>
      </c>
      <c r="E244" s="29" t="s">
        <v>122</v>
      </c>
      <c r="F244" s="29"/>
      <c r="G244" s="29"/>
      <c r="H244" s="30"/>
      <c r="I244" s="49"/>
      <c r="J244" s="30"/>
      <c r="K244" s="14"/>
      <c r="L244" s="14"/>
      <c r="M244" s="30"/>
    </row>
    <row r="245" spans="2:13" x14ac:dyDescent="0.25">
      <c r="B245" s="28" t="s">
        <v>206</v>
      </c>
      <c r="C245" s="29" t="s">
        <v>23</v>
      </c>
      <c r="D245" s="29" t="s">
        <v>50</v>
      </c>
      <c r="E245" s="29" t="s">
        <v>166</v>
      </c>
      <c r="F245" s="29"/>
      <c r="G245" s="29"/>
      <c r="H245" s="30"/>
      <c r="I245" s="49"/>
      <c r="J245" s="30"/>
      <c r="K245" s="14"/>
      <c r="L245" s="14"/>
      <c r="M245" s="30"/>
    </row>
    <row r="246" spans="2:13" x14ac:dyDescent="0.25">
      <c r="B246" s="28" t="s">
        <v>206</v>
      </c>
      <c r="C246" s="29" t="s">
        <v>23</v>
      </c>
      <c r="D246" s="29" t="s">
        <v>50</v>
      </c>
      <c r="E246" s="29" t="s">
        <v>69</v>
      </c>
      <c r="F246" s="29"/>
      <c r="G246" s="29"/>
      <c r="H246" s="30"/>
      <c r="I246" s="49"/>
      <c r="J246" s="30"/>
      <c r="K246" s="14"/>
      <c r="L246" s="14"/>
      <c r="M246" s="30"/>
    </row>
    <row r="247" spans="2:13" x14ac:dyDescent="0.25">
      <c r="B247" s="28" t="s">
        <v>206</v>
      </c>
      <c r="C247" s="29" t="s">
        <v>23</v>
      </c>
      <c r="D247" s="29" t="s">
        <v>50</v>
      </c>
      <c r="E247" s="29" t="s">
        <v>167</v>
      </c>
      <c r="F247" s="29"/>
      <c r="G247" s="29"/>
      <c r="H247" s="30"/>
      <c r="I247" s="49"/>
      <c r="J247" s="30"/>
      <c r="K247" s="14"/>
      <c r="L247" s="14"/>
      <c r="M247" s="30"/>
    </row>
    <row r="248" spans="2:13" x14ac:dyDescent="0.25">
      <c r="B248" s="28" t="s">
        <v>206</v>
      </c>
      <c r="C248" s="29" t="s">
        <v>23</v>
      </c>
      <c r="D248" s="29" t="s">
        <v>50</v>
      </c>
      <c r="E248" s="29" t="s">
        <v>168</v>
      </c>
      <c r="F248" s="29"/>
      <c r="G248" s="29"/>
      <c r="H248" s="30"/>
      <c r="I248" s="49"/>
      <c r="J248" s="30"/>
      <c r="K248" s="14"/>
      <c r="L248" s="14"/>
      <c r="M248" s="30"/>
    </row>
    <row r="249" spans="2:13" x14ac:dyDescent="0.25">
      <c r="B249" s="28" t="s">
        <v>206</v>
      </c>
      <c r="C249" s="29" t="s">
        <v>23</v>
      </c>
      <c r="D249" s="29" t="s">
        <v>50</v>
      </c>
      <c r="E249" s="29" t="s">
        <v>169</v>
      </c>
      <c r="F249" s="29"/>
      <c r="G249" s="29"/>
      <c r="H249" s="30"/>
      <c r="I249" s="49"/>
      <c r="J249" s="30"/>
      <c r="K249" s="14"/>
      <c r="L249" s="14"/>
      <c r="M249" s="30"/>
    </row>
    <row r="250" spans="2:13" x14ac:dyDescent="0.25">
      <c r="B250" s="28" t="s">
        <v>206</v>
      </c>
      <c r="C250" s="29" t="s">
        <v>23</v>
      </c>
      <c r="D250" s="29" t="s">
        <v>80</v>
      </c>
      <c r="E250" s="29" t="s">
        <v>170</v>
      </c>
      <c r="F250" s="29" t="s">
        <v>208</v>
      </c>
      <c r="G250" s="29" t="s">
        <v>209</v>
      </c>
      <c r="H250" s="30"/>
      <c r="I250" s="49">
        <v>0.2</v>
      </c>
      <c r="J250" s="30"/>
      <c r="K250" s="14"/>
      <c r="L250" s="14"/>
      <c r="M250" s="30"/>
    </row>
    <row r="251" spans="2:13" x14ac:dyDescent="0.25">
      <c r="B251" s="28" t="s">
        <v>206</v>
      </c>
      <c r="C251" s="29" t="s">
        <v>23</v>
      </c>
      <c r="D251" s="29" t="s">
        <v>80</v>
      </c>
      <c r="E251" s="29" t="s">
        <v>171</v>
      </c>
      <c r="F251" s="29" t="s">
        <v>209</v>
      </c>
      <c r="G251" s="29" t="s">
        <v>208</v>
      </c>
      <c r="H251" s="30"/>
      <c r="I251" s="49">
        <v>0</v>
      </c>
      <c r="J251" s="30"/>
      <c r="K251" s="14"/>
      <c r="L251" s="14"/>
      <c r="M251" s="30"/>
    </row>
    <row r="252" spans="2:13" x14ac:dyDescent="0.25">
      <c r="B252" s="28" t="s">
        <v>206</v>
      </c>
      <c r="C252" s="29" t="s">
        <v>23</v>
      </c>
      <c r="D252" s="29" t="s">
        <v>80</v>
      </c>
      <c r="E252" s="29" t="s">
        <v>172</v>
      </c>
      <c r="F252" s="29" t="s">
        <v>208</v>
      </c>
      <c r="G252" s="29" t="s">
        <v>209</v>
      </c>
      <c r="H252" s="30"/>
      <c r="I252" s="49">
        <v>0.2</v>
      </c>
      <c r="J252" s="30"/>
      <c r="K252" s="14"/>
      <c r="L252" s="14"/>
      <c r="M252" s="30"/>
    </row>
    <row r="253" spans="2:13" x14ac:dyDescent="0.25">
      <c r="B253" s="28" t="s">
        <v>206</v>
      </c>
      <c r="C253" s="29" t="s">
        <v>23</v>
      </c>
      <c r="D253" s="29" t="s">
        <v>80</v>
      </c>
      <c r="E253" s="29" t="s">
        <v>173</v>
      </c>
      <c r="F253" s="29"/>
      <c r="G253" s="29"/>
      <c r="H253" s="30"/>
      <c r="I253" s="49"/>
      <c r="J253" s="30"/>
      <c r="K253" s="14"/>
      <c r="L253" s="14"/>
      <c r="M253" s="30"/>
    </row>
    <row r="254" spans="2:13" x14ac:dyDescent="0.25">
      <c r="B254" s="28" t="s">
        <v>206</v>
      </c>
      <c r="C254" s="29" t="s">
        <v>23</v>
      </c>
      <c r="D254" s="29" t="s">
        <v>80</v>
      </c>
      <c r="E254" s="29" t="s">
        <v>174</v>
      </c>
      <c r="F254" s="29"/>
      <c r="G254" s="29"/>
      <c r="H254" s="30"/>
      <c r="I254" s="49"/>
      <c r="J254" s="30"/>
      <c r="K254" s="14"/>
      <c r="L254" s="14"/>
      <c r="M254" s="30"/>
    </row>
    <row r="255" spans="2:13" x14ac:dyDescent="0.25">
      <c r="B255" s="28" t="s">
        <v>206</v>
      </c>
      <c r="C255" s="29" t="s">
        <v>23</v>
      </c>
      <c r="D255" s="29" t="s">
        <v>80</v>
      </c>
      <c r="E255" s="29" t="s">
        <v>175</v>
      </c>
      <c r="F255" s="29" t="s">
        <v>209</v>
      </c>
      <c r="G255" s="29" t="s">
        <v>208</v>
      </c>
      <c r="H255" s="30"/>
      <c r="I255" s="49">
        <v>0.1</v>
      </c>
      <c r="J255" s="30"/>
      <c r="K255" s="14"/>
      <c r="L255" s="14"/>
      <c r="M255" s="30"/>
    </row>
    <row r="256" spans="2:13" x14ac:dyDescent="0.25">
      <c r="B256" s="28" t="s">
        <v>206</v>
      </c>
      <c r="C256" s="29" t="s">
        <v>23</v>
      </c>
      <c r="D256" s="29" t="s">
        <v>80</v>
      </c>
      <c r="E256" s="29" t="s">
        <v>140</v>
      </c>
      <c r="F256" s="29" t="s">
        <v>209</v>
      </c>
      <c r="G256" s="29" t="s">
        <v>208</v>
      </c>
      <c r="H256" s="30"/>
      <c r="I256" s="49">
        <v>0</v>
      </c>
      <c r="J256" s="30"/>
      <c r="K256" s="14"/>
      <c r="L256" s="14"/>
      <c r="M256" s="30"/>
    </row>
    <row r="257" spans="2:13" x14ac:dyDescent="0.25">
      <c r="B257" s="28" t="s">
        <v>206</v>
      </c>
      <c r="C257" s="29" t="s">
        <v>23</v>
      </c>
      <c r="D257" s="29" t="s">
        <v>80</v>
      </c>
      <c r="E257" s="29" t="s">
        <v>176</v>
      </c>
      <c r="F257" s="29" t="s">
        <v>208</v>
      </c>
      <c r="G257" s="29" t="s">
        <v>209</v>
      </c>
      <c r="H257" s="30"/>
      <c r="I257" s="49">
        <v>0.2</v>
      </c>
      <c r="J257" s="30"/>
      <c r="K257" s="14"/>
      <c r="L257" s="14"/>
      <c r="M257" s="30"/>
    </row>
    <row r="258" spans="2:13" x14ac:dyDescent="0.25">
      <c r="B258" s="28" t="s">
        <v>206</v>
      </c>
      <c r="C258" s="29" t="s">
        <v>23</v>
      </c>
      <c r="D258" s="29" t="s">
        <v>80</v>
      </c>
      <c r="E258" s="29" t="s">
        <v>177</v>
      </c>
      <c r="F258" s="29"/>
      <c r="G258" s="29"/>
      <c r="H258" s="30"/>
      <c r="I258" s="49"/>
      <c r="J258" s="30"/>
      <c r="K258" s="14"/>
      <c r="L258" s="14"/>
      <c r="M258" s="30"/>
    </row>
    <row r="259" spans="2:13" x14ac:dyDescent="0.25">
      <c r="B259" s="28" t="s">
        <v>206</v>
      </c>
      <c r="C259" s="29" t="s">
        <v>23</v>
      </c>
      <c r="D259" s="29" t="s">
        <v>83</v>
      </c>
      <c r="E259" s="29" t="s">
        <v>178</v>
      </c>
      <c r="F259" s="29" t="s">
        <v>210</v>
      </c>
      <c r="G259" s="29"/>
      <c r="H259" s="30"/>
      <c r="I259" s="49"/>
      <c r="J259" s="30"/>
      <c r="K259" s="14"/>
      <c r="L259" s="14"/>
      <c r="M259" s="30"/>
    </row>
    <row r="260" spans="2:13" x14ac:dyDescent="0.25">
      <c r="B260" s="28" t="s">
        <v>206</v>
      </c>
      <c r="C260" s="29" t="s">
        <v>23</v>
      </c>
      <c r="D260" s="29" t="s">
        <v>83</v>
      </c>
      <c r="E260" s="29" t="s">
        <v>179</v>
      </c>
      <c r="F260" s="29" t="s">
        <v>210</v>
      </c>
      <c r="G260" s="29"/>
      <c r="H260" s="30"/>
      <c r="I260" s="49"/>
      <c r="J260" s="30"/>
      <c r="K260" s="14"/>
      <c r="L260" s="14"/>
      <c r="M260" s="30"/>
    </row>
    <row r="261" spans="2:13" x14ac:dyDescent="0.25">
      <c r="B261" s="28" t="s">
        <v>206</v>
      </c>
      <c r="C261" s="29" t="s">
        <v>23</v>
      </c>
      <c r="D261" s="29" t="s">
        <v>83</v>
      </c>
      <c r="E261" s="29" t="s">
        <v>180</v>
      </c>
      <c r="F261" s="29" t="s">
        <v>210</v>
      </c>
      <c r="G261" s="29"/>
      <c r="H261" s="30"/>
      <c r="I261" s="49"/>
      <c r="J261" s="30"/>
      <c r="K261" s="14"/>
      <c r="L261" s="14"/>
      <c r="M261" s="30"/>
    </row>
    <row r="262" spans="2:13" x14ac:dyDescent="0.25">
      <c r="B262" s="28" t="s">
        <v>206</v>
      </c>
      <c r="C262" s="29" t="s">
        <v>23</v>
      </c>
      <c r="D262" s="29" t="s">
        <v>83</v>
      </c>
      <c r="E262" s="29" t="s">
        <v>181</v>
      </c>
      <c r="F262" s="29" t="s">
        <v>210</v>
      </c>
      <c r="G262" s="29"/>
      <c r="H262" s="30"/>
      <c r="I262" s="49"/>
      <c r="J262" s="30"/>
      <c r="K262" s="14"/>
      <c r="L262" s="14"/>
      <c r="M262" s="30"/>
    </row>
    <row r="263" spans="2:13" x14ac:dyDescent="0.25">
      <c r="B263" s="28" t="s">
        <v>206</v>
      </c>
      <c r="C263" s="29" t="s">
        <v>23</v>
      </c>
      <c r="D263" s="29" t="s">
        <v>91</v>
      </c>
      <c r="E263" s="29" t="s">
        <v>182</v>
      </c>
      <c r="F263" s="29"/>
      <c r="G263" s="29"/>
      <c r="H263" s="30"/>
      <c r="I263" s="49"/>
      <c r="J263" s="30"/>
      <c r="K263" s="14"/>
      <c r="L263" s="14"/>
      <c r="M263" s="30"/>
    </row>
    <row r="264" spans="2:13" x14ac:dyDescent="0.25">
      <c r="B264" s="28" t="s">
        <v>206</v>
      </c>
      <c r="C264" s="29" t="s">
        <v>23</v>
      </c>
      <c r="D264" s="29" t="s">
        <v>91</v>
      </c>
      <c r="E264" s="29" t="s">
        <v>183</v>
      </c>
      <c r="F264" s="29" t="s">
        <v>210</v>
      </c>
      <c r="G264" s="29" t="s">
        <v>209</v>
      </c>
      <c r="H264" s="30"/>
      <c r="I264" s="49">
        <v>0.2</v>
      </c>
      <c r="J264" s="30"/>
      <c r="K264" s="14"/>
      <c r="L264" s="14"/>
      <c r="M264" s="30"/>
    </row>
    <row r="265" spans="2:13" x14ac:dyDescent="0.25">
      <c r="B265" s="28" t="s">
        <v>206</v>
      </c>
      <c r="C265" s="29" t="s">
        <v>23</v>
      </c>
      <c r="D265" s="29" t="s">
        <v>91</v>
      </c>
      <c r="E265" s="29" t="s">
        <v>184</v>
      </c>
      <c r="F265" s="29" t="s">
        <v>210</v>
      </c>
      <c r="G265" s="29" t="s">
        <v>209</v>
      </c>
      <c r="H265" s="30"/>
      <c r="I265" s="49">
        <v>0.1</v>
      </c>
      <c r="J265" s="30"/>
      <c r="K265" s="14"/>
      <c r="L265" s="14"/>
      <c r="M265" s="30"/>
    </row>
    <row r="266" spans="2:13" x14ac:dyDescent="0.25">
      <c r="B266" s="28" t="s">
        <v>206</v>
      </c>
      <c r="C266" s="29" t="s">
        <v>23</v>
      </c>
      <c r="D266" s="29" t="s">
        <v>93</v>
      </c>
      <c r="E266" s="29" t="s">
        <v>185</v>
      </c>
      <c r="F266" s="29" t="s">
        <v>210</v>
      </c>
      <c r="G266" s="29" t="s">
        <v>208</v>
      </c>
      <c r="H266" s="30"/>
      <c r="I266" s="49">
        <v>0</v>
      </c>
      <c r="J266" s="30"/>
      <c r="K266" s="14"/>
      <c r="L266" s="14"/>
      <c r="M266" s="30"/>
    </row>
    <row r="267" spans="2:13" x14ac:dyDescent="0.25">
      <c r="B267" s="28" t="s">
        <v>206</v>
      </c>
      <c r="C267" s="29" t="s">
        <v>23</v>
      </c>
      <c r="D267" s="29" t="s">
        <v>93</v>
      </c>
      <c r="E267" s="29" t="s">
        <v>186</v>
      </c>
      <c r="F267" s="29" t="s">
        <v>210</v>
      </c>
      <c r="G267" s="29" t="s">
        <v>208</v>
      </c>
      <c r="H267" s="30"/>
      <c r="I267" s="49">
        <v>0</v>
      </c>
      <c r="J267" s="30"/>
      <c r="K267" s="14"/>
      <c r="L267" s="14"/>
      <c r="M267" s="30"/>
    </row>
    <row r="268" spans="2:13" x14ac:dyDescent="0.25">
      <c r="B268" s="28" t="s">
        <v>206</v>
      </c>
      <c r="C268" s="29" t="s">
        <v>23</v>
      </c>
      <c r="D268" s="29" t="s">
        <v>95</v>
      </c>
      <c r="E268" s="29" t="s">
        <v>187</v>
      </c>
      <c r="F268" s="29" t="s">
        <v>208</v>
      </c>
      <c r="G268" s="29" t="s">
        <v>209</v>
      </c>
      <c r="H268" s="30"/>
      <c r="I268" s="49">
        <v>0</v>
      </c>
      <c r="J268" s="30"/>
      <c r="K268" s="14"/>
      <c r="L268" s="14"/>
      <c r="M268" s="30"/>
    </row>
    <row r="269" spans="2:13" x14ac:dyDescent="0.25">
      <c r="B269" s="28" t="s">
        <v>206</v>
      </c>
      <c r="C269" s="29" t="s">
        <v>23</v>
      </c>
      <c r="D269" s="29" t="s">
        <v>95</v>
      </c>
      <c r="E269" s="29" t="s">
        <v>188</v>
      </c>
      <c r="F269" s="29" t="s">
        <v>208</v>
      </c>
      <c r="G269" s="29" t="s">
        <v>209</v>
      </c>
      <c r="H269" s="30"/>
      <c r="I269" s="49">
        <v>0</v>
      </c>
      <c r="J269" s="30"/>
      <c r="K269" s="14"/>
      <c r="L269" s="14"/>
      <c r="M269" s="30"/>
    </row>
    <row r="270" spans="2:13" x14ac:dyDescent="0.25">
      <c r="B270" s="28" t="s">
        <v>206</v>
      </c>
      <c r="C270" s="29" t="s">
        <v>23</v>
      </c>
      <c r="D270" s="29" t="s">
        <v>97</v>
      </c>
      <c r="E270" s="29" t="s">
        <v>189</v>
      </c>
      <c r="F270" s="29"/>
      <c r="G270" s="29"/>
      <c r="H270" s="30"/>
      <c r="I270" s="49"/>
      <c r="J270" s="30"/>
      <c r="K270" s="14"/>
      <c r="L270" s="14"/>
      <c r="M270" s="30"/>
    </row>
    <row r="271" spans="2:13" x14ac:dyDescent="0.25">
      <c r="B271" s="28" t="s">
        <v>206</v>
      </c>
      <c r="C271" s="29" t="s">
        <v>23</v>
      </c>
      <c r="D271" s="29" t="s">
        <v>97</v>
      </c>
      <c r="E271" s="29" t="s">
        <v>99</v>
      </c>
      <c r="F271" s="29" t="s">
        <v>211</v>
      </c>
      <c r="G271" s="29" t="s">
        <v>210</v>
      </c>
      <c r="H271" s="30"/>
      <c r="I271" s="49">
        <v>0</v>
      </c>
      <c r="J271" s="30"/>
      <c r="K271" s="14"/>
      <c r="L271" s="14"/>
      <c r="M271" s="30"/>
    </row>
    <row r="272" spans="2:13" x14ac:dyDescent="0.25">
      <c r="B272" s="28" t="s">
        <v>206</v>
      </c>
      <c r="C272" s="29" t="s">
        <v>23</v>
      </c>
      <c r="D272" s="29" t="s">
        <v>97</v>
      </c>
      <c r="E272" s="29" t="s">
        <v>190</v>
      </c>
      <c r="F272" s="29" t="s">
        <v>211</v>
      </c>
      <c r="G272" s="29" t="s">
        <v>209</v>
      </c>
      <c r="H272" s="30"/>
      <c r="I272" s="49">
        <v>0</v>
      </c>
      <c r="J272" s="30"/>
      <c r="K272" s="14"/>
      <c r="L272" s="14"/>
      <c r="M272" s="30"/>
    </row>
    <row r="273" spans="2:13" x14ac:dyDescent="0.25">
      <c r="B273" s="28" t="s">
        <v>206</v>
      </c>
      <c r="C273" s="29" t="s">
        <v>23</v>
      </c>
      <c r="D273" s="29" t="s">
        <v>97</v>
      </c>
      <c r="E273" s="29" t="s">
        <v>191</v>
      </c>
      <c r="F273" s="29" t="s">
        <v>212</v>
      </c>
      <c r="G273" s="29" t="s">
        <v>213</v>
      </c>
      <c r="H273" s="30"/>
      <c r="I273" s="49">
        <v>0</v>
      </c>
      <c r="J273" s="30"/>
      <c r="K273" s="14"/>
      <c r="L273" s="14"/>
      <c r="M273" s="30"/>
    </row>
    <row r="274" spans="2:13" x14ac:dyDescent="0.25">
      <c r="B274" s="28" t="s">
        <v>206</v>
      </c>
      <c r="C274" s="29" t="s">
        <v>23</v>
      </c>
      <c r="D274" s="29" t="s">
        <v>97</v>
      </c>
      <c r="E274" s="29" t="s">
        <v>192</v>
      </c>
      <c r="F274" s="29" t="s">
        <v>211</v>
      </c>
      <c r="G274" s="29" t="s">
        <v>208</v>
      </c>
      <c r="H274" s="30"/>
      <c r="I274" s="49">
        <v>0</v>
      </c>
      <c r="J274" s="30"/>
      <c r="K274" s="14"/>
      <c r="L274" s="14"/>
      <c r="M274" s="30"/>
    </row>
    <row r="275" spans="2:13" x14ac:dyDescent="0.25">
      <c r="B275" s="28" t="s">
        <v>206</v>
      </c>
      <c r="C275" s="29" t="s">
        <v>23</v>
      </c>
      <c r="D275" s="29" t="s">
        <v>97</v>
      </c>
      <c r="E275" s="29" t="s">
        <v>193</v>
      </c>
      <c r="F275" s="29" t="s">
        <v>211</v>
      </c>
      <c r="G275" s="29" t="s">
        <v>208</v>
      </c>
      <c r="H275" s="30"/>
      <c r="I275" s="49">
        <v>0</v>
      </c>
      <c r="J275" s="30"/>
      <c r="K275" s="14"/>
      <c r="L275" s="14"/>
      <c r="M275" s="30"/>
    </row>
    <row r="276" spans="2:13" x14ac:dyDescent="0.25">
      <c r="B276" s="28" t="s">
        <v>206</v>
      </c>
      <c r="C276" s="29" t="s">
        <v>23</v>
      </c>
      <c r="D276" s="29" t="s">
        <v>97</v>
      </c>
      <c r="E276" s="29" t="s">
        <v>150</v>
      </c>
      <c r="F276" s="29" t="s">
        <v>211</v>
      </c>
      <c r="G276" s="29" t="s">
        <v>210</v>
      </c>
      <c r="H276" s="30"/>
      <c r="I276" s="49">
        <v>0</v>
      </c>
      <c r="J276" s="30"/>
      <c r="K276" s="14"/>
      <c r="L276" s="14"/>
      <c r="M276" s="30"/>
    </row>
    <row r="277" spans="2:13" x14ac:dyDescent="0.25">
      <c r="B277" s="28" t="s">
        <v>206</v>
      </c>
      <c r="C277" s="29" t="s">
        <v>23</v>
      </c>
      <c r="D277" s="29" t="s">
        <v>97</v>
      </c>
      <c r="E277" s="29" t="s">
        <v>152</v>
      </c>
      <c r="F277" s="29" t="s">
        <v>211</v>
      </c>
      <c r="G277" s="29" t="s">
        <v>210</v>
      </c>
      <c r="H277" s="30"/>
      <c r="I277" s="49">
        <v>0</v>
      </c>
      <c r="J277" s="30"/>
      <c r="K277" s="14"/>
      <c r="L277" s="14"/>
      <c r="M277" s="30"/>
    </row>
    <row r="278" spans="2:13" x14ac:dyDescent="0.25">
      <c r="B278" s="28" t="s">
        <v>206</v>
      </c>
      <c r="C278" s="29" t="s">
        <v>23</v>
      </c>
      <c r="D278" s="29" t="s">
        <v>97</v>
      </c>
      <c r="E278" s="29" t="s">
        <v>194</v>
      </c>
      <c r="F278" s="29"/>
      <c r="G278" s="29"/>
      <c r="H278" s="30"/>
      <c r="I278" s="49"/>
      <c r="J278" s="30"/>
      <c r="K278" s="14"/>
      <c r="L278" s="14"/>
      <c r="M278" s="30"/>
    </row>
    <row r="279" spans="2:13" x14ac:dyDescent="0.25">
      <c r="B279" s="28" t="s">
        <v>206</v>
      </c>
      <c r="C279" s="29" t="s">
        <v>23</v>
      </c>
      <c r="D279" s="29" t="s">
        <v>97</v>
      </c>
      <c r="E279" s="29" t="s">
        <v>195</v>
      </c>
      <c r="F279" s="29"/>
      <c r="G279" s="29"/>
      <c r="H279" s="30"/>
      <c r="I279" s="49"/>
      <c r="J279" s="30"/>
      <c r="K279" s="14"/>
      <c r="L279" s="14"/>
      <c r="M279" s="30"/>
    </row>
    <row r="280" spans="2:13" x14ac:dyDescent="0.25">
      <c r="B280" s="28" t="s">
        <v>206</v>
      </c>
      <c r="C280" s="29" t="s">
        <v>23</v>
      </c>
      <c r="D280" s="29" t="s">
        <v>97</v>
      </c>
      <c r="E280" s="29" t="s">
        <v>196</v>
      </c>
      <c r="F280" s="29"/>
      <c r="G280" s="29"/>
      <c r="H280" s="30"/>
      <c r="I280" s="49"/>
      <c r="J280" s="30"/>
      <c r="K280" s="14"/>
      <c r="L280" s="14"/>
      <c r="M280" s="30"/>
    </row>
    <row r="281" spans="2:13" x14ac:dyDescent="0.25">
      <c r="B281" s="28" t="s">
        <v>206</v>
      </c>
      <c r="C281" s="29" t="s">
        <v>23</v>
      </c>
      <c r="D281" s="29" t="s">
        <v>97</v>
      </c>
      <c r="E281" s="29" t="s">
        <v>197</v>
      </c>
      <c r="F281" s="29"/>
      <c r="G281" s="29"/>
      <c r="H281" s="30"/>
      <c r="I281" s="49"/>
      <c r="J281" s="30"/>
      <c r="K281" s="14"/>
      <c r="L281" s="14"/>
      <c r="M281" s="30"/>
    </row>
    <row r="282" spans="2:13" x14ac:dyDescent="0.25">
      <c r="B282" s="28" t="s">
        <v>206</v>
      </c>
      <c r="C282" s="29" t="s">
        <v>23</v>
      </c>
      <c r="D282" s="29" t="s">
        <v>97</v>
      </c>
      <c r="E282" s="29" t="s">
        <v>198</v>
      </c>
      <c r="F282" s="29" t="s">
        <v>211</v>
      </c>
      <c r="G282" s="29" t="s">
        <v>210</v>
      </c>
      <c r="H282" s="30"/>
      <c r="I282" s="49"/>
      <c r="J282" s="30"/>
      <c r="K282" s="14"/>
      <c r="L282" s="14"/>
      <c r="M282" s="30"/>
    </row>
    <row r="283" spans="2:13" x14ac:dyDescent="0.25">
      <c r="B283" s="28" t="s">
        <v>206</v>
      </c>
      <c r="C283" s="29" t="s">
        <v>23</v>
      </c>
      <c r="D283" s="29" t="s">
        <v>97</v>
      </c>
      <c r="E283" s="29" t="s">
        <v>199</v>
      </c>
      <c r="F283" s="29" t="s">
        <v>211</v>
      </c>
      <c r="G283" s="29" t="s">
        <v>208</v>
      </c>
      <c r="H283" s="30"/>
      <c r="I283" s="49"/>
      <c r="J283" s="30"/>
      <c r="K283" s="14"/>
      <c r="L283" s="14"/>
      <c r="M283" s="30"/>
    </row>
    <row r="284" spans="2:13" x14ac:dyDescent="0.25">
      <c r="B284" s="28" t="s">
        <v>206</v>
      </c>
      <c r="C284" s="29" t="s">
        <v>23</v>
      </c>
      <c r="D284" s="29" t="s">
        <v>97</v>
      </c>
      <c r="E284" s="29" t="s">
        <v>200</v>
      </c>
      <c r="F284" s="29" t="s">
        <v>211</v>
      </c>
      <c r="G284" s="29" t="s">
        <v>210</v>
      </c>
      <c r="H284" s="30"/>
      <c r="I284" s="49"/>
      <c r="J284" s="30"/>
      <c r="K284" s="14"/>
      <c r="L284" s="14"/>
      <c r="M284" s="30"/>
    </row>
    <row r="285" spans="2:13" x14ac:dyDescent="0.25">
      <c r="B285" s="28" t="s">
        <v>206</v>
      </c>
      <c r="C285" s="29" t="s">
        <v>23</v>
      </c>
      <c r="D285" s="29" t="s">
        <v>97</v>
      </c>
      <c r="E285" s="29" t="s">
        <v>201</v>
      </c>
      <c r="F285" s="29" t="s">
        <v>211</v>
      </c>
      <c r="G285" s="29" t="s">
        <v>210</v>
      </c>
      <c r="H285" s="30"/>
      <c r="I285" s="49"/>
      <c r="J285" s="30"/>
      <c r="K285" s="14"/>
      <c r="L285" s="14"/>
      <c r="M285" s="30"/>
    </row>
    <row r="286" spans="2:13" x14ac:dyDescent="0.25">
      <c r="B286" s="28" t="s">
        <v>206</v>
      </c>
      <c r="C286" s="29" t="s">
        <v>23</v>
      </c>
      <c r="D286" s="29" t="s">
        <v>97</v>
      </c>
      <c r="E286" s="29" t="s">
        <v>202</v>
      </c>
      <c r="F286" s="29" t="s">
        <v>211</v>
      </c>
      <c r="G286" s="29" t="s">
        <v>210</v>
      </c>
      <c r="H286" s="30"/>
      <c r="I286" s="49"/>
      <c r="J286" s="30"/>
      <c r="K286" s="14"/>
      <c r="L286" s="14"/>
      <c r="M286" s="30"/>
    </row>
    <row r="287" spans="2:13" x14ac:dyDescent="0.25">
      <c r="B287" s="28" t="s">
        <v>206</v>
      </c>
      <c r="C287" s="29" t="s">
        <v>23</v>
      </c>
      <c r="D287" s="29" t="s">
        <v>97</v>
      </c>
      <c r="E287" s="29" t="s">
        <v>203</v>
      </c>
      <c r="F287" s="29" t="s">
        <v>211</v>
      </c>
      <c r="G287" s="29" t="s">
        <v>210</v>
      </c>
      <c r="H287" s="30"/>
      <c r="I287" s="49"/>
      <c r="J287" s="30"/>
      <c r="K287" s="14"/>
      <c r="L287" s="14"/>
      <c r="M287" s="30"/>
    </row>
    <row r="288" spans="2:13" x14ac:dyDescent="0.25">
      <c r="B288" s="28" t="s">
        <v>206</v>
      </c>
      <c r="C288" s="29" t="s">
        <v>23</v>
      </c>
      <c r="D288" s="29" t="s">
        <v>115</v>
      </c>
      <c r="E288" s="29" t="s">
        <v>204</v>
      </c>
      <c r="F288" s="29" t="s">
        <v>208</v>
      </c>
      <c r="G288" s="29" t="s">
        <v>209</v>
      </c>
      <c r="H288" s="30"/>
      <c r="I288" s="49"/>
      <c r="J288" s="30"/>
      <c r="K288" s="14"/>
      <c r="L288" s="14"/>
      <c r="M288" s="30"/>
    </row>
    <row r="289" spans="2:13" x14ac:dyDescent="0.25">
      <c r="B289" s="28" t="s">
        <v>206</v>
      </c>
      <c r="C289" s="29" t="s">
        <v>23</v>
      </c>
      <c r="D289" s="29" t="s">
        <v>115</v>
      </c>
      <c r="E289" s="29" t="s">
        <v>205</v>
      </c>
      <c r="F289" s="29" t="s">
        <v>209</v>
      </c>
      <c r="G289" s="29" t="s">
        <v>208</v>
      </c>
      <c r="H289" s="30"/>
      <c r="I289" s="49"/>
      <c r="J289" s="30"/>
      <c r="K289" s="14"/>
      <c r="L289" s="14"/>
      <c r="M289" s="30"/>
    </row>
    <row r="290" spans="2:13" s="6" customFormat="1" x14ac:dyDescent="0.25">
      <c r="B290" s="28" t="s">
        <v>214</v>
      </c>
      <c r="C290" s="9" t="s">
        <v>207</v>
      </c>
      <c r="D290" s="8" t="s">
        <v>14</v>
      </c>
      <c r="E290" s="31" t="s">
        <v>207</v>
      </c>
      <c r="F290" s="27"/>
      <c r="G290" s="27"/>
      <c r="H290" s="27"/>
      <c r="I290" s="48"/>
      <c r="J290" s="29"/>
      <c r="K290" s="14"/>
      <c r="L290" s="14"/>
      <c r="M290" s="27"/>
    </row>
    <row r="291" spans="2:13" x14ac:dyDescent="0.25">
      <c r="B291" s="28" t="s">
        <v>214</v>
      </c>
      <c r="C291" s="8" t="s">
        <v>14</v>
      </c>
      <c r="D291" s="8" t="s">
        <v>14</v>
      </c>
      <c r="E291" s="29" t="s">
        <v>15</v>
      </c>
      <c r="F291" s="30"/>
      <c r="G291" s="29"/>
      <c r="H291" s="14"/>
      <c r="I291" s="63">
        <v>1</v>
      </c>
      <c r="J291" s="30" t="s">
        <v>26</v>
      </c>
      <c r="K291" s="16"/>
      <c r="L291" s="16"/>
      <c r="M291" s="30"/>
    </row>
    <row r="292" spans="2:13" s="10" customFormat="1" x14ac:dyDescent="0.25">
      <c r="B292" s="28" t="s">
        <v>214</v>
      </c>
      <c r="C292" s="8" t="s">
        <v>14</v>
      </c>
      <c r="D292" s="8" t="s">
        <v>14</v>
      </c>
      <c r="E292" s="29" t="s">
        <v>18</v>
      </c>
      <c r="F292" s="53" t="s">
        <v>215</v>
      </c>
      <c r="G292" s="32"/>
      <c r="H292" s="30">
        <v>4</v>
      </c>
      <c r="I292" s="49">
        <v>1</v>
      </c>
      <c r="J292" s="30" t="s">
        <v>30</v>
      </c>
      <c r="K292" s="16">
        <v>46094</v>
      </c>
      <c r="L292" s="16">
        <v>46108</v>
      </c>
      <c r="M292" s="13"/>
    </row>
    <row r="293" spans="2:13" x14ac:dyDescent="0.25">
      <c r="B293" s="28" t="s">
        <v>214</v>
      </c>
      <c r="C293" s="8" t="s">
        <v>14</v>
      </c>
      <c r="D293" s="8" t="s">
        <v>14</v>
      </c>
      <c r="E293" s="29" t="s">
        <v>20</v>
      </c>
      <c r="F293" s="53" t="s">
        <v>216</v>
      </c>
      <c r="G293" s="29"/>
      <c r="H293" s="30"/>
      <c r="I293" s="49">
        <v>1</v>
      </c>
      <c r="J293" s="30" t="s">
        <v>30</v>
      </c>
      <c r="K293" s="16">
        <v>46094</v>
      </c>
      <c r="L293" s="16">
        <v>46108</v>
      </c>
      <c r="M293" s="13"/>
    </row>
    <row r="294" spans="2:13" x14ac:dyDescent="0.25">
      <c r="B294" s="28" t="s">
        <v>214</v>
      </c>
      <c r="C294" s="8" t="s">
        <v>14</v>
      </c>
      <c r="D294" s="8" t="s">
        <v>14</v>
      </c>
      <c r="E294" s="29" t="s">
        <v>21</v>
      </c>
      <c r="F294" s="53" t="s">
        <v>215</v>
      </c>
      <c r="G294" s="29"/>
      <c r="H294" s="30"/>
      <c r="I294" s="49">
        <v>1</v>
      </c>
      <c r="J294" s="30" t="s">
        <v>30</v>
      </c>
      <c r="K294" s="16">
        <v>46094</v>
      </c>
      <c r="L294" s="16">
        <v>46108</v>
      </c>
      <c r="M294"/>
    </row>
    <row r="295" spans="2:13" x14ac:dyDescent="0.25">
      <c r="B295" s="28" t="s">
        <v>214</v>
      </c>
      <c r="C295" s="8" t="s">
        <v>14</v>
      </c>
      <c r="D295" s="8" t="s">
        <v>14</v>
      </c>
      <c r="E295" s="29" t="s">
        <v>22</v>
      </c>
      <c r="F295" s="53" t="s">
        <v>216</v>
      </c>
      <c r="G295" s="29"/>
      <c r="H295" s="30"/>
      <c r="I295" s="49">
        <v>1</v>
      </c>
      <c r="J295" s="30" t="s">
        <v>30</v>
      </c>
      <c r="K295" s="16">
        <v>46094</v>
      </c>
      <c r="L295" s="16">
        <v>46108</v>
      </c>
      <c r="M295" s="53"/>
    </row>
    <row r="296" spans="2:13" x14ac:dyDescent="0.25">
      <c r="B296" s="28" t="s">
        <v>214</v>
      </c>
      <c r="C296" s="29" t="s">
        <v>23</v>
      </c>
      <c r="D296" s="29" t="s">
        <v>24</v>
      </c>
      <c r="E296" s="29" t="s">
        <v>25</v>
      </c>
      <c r="F296" s="29"/>
      <c r="G296" s="29"/>
      <c r="H296" s="30"/>
      <c r="I296" s="49"/>
      <c r="J296" s="30"/>
      <c r="K296" s="14"/>
      <c r="L296" s="14"/>
      <c r="M296" s="30"/>
    </row>
    <row r="297" spans="2:13" x14ac:dyDescent="0.25">
      <c r="B297" s="28" t="s">
        <v>214</v>
      </c>
      <c r="C297" s="29" t="s">
        <v>23</v>
      </c>
      <c r="D297" s="29" t="s">
        <v>28</v>
      </c>
      <c r="E297" s="29" t="s">
        <v>29</v>
      </c>
      <c r="F297" s="29"/>
      <c r="G297" s="29"/>
      <c r="H297" s="30"/>
      <c r="I297" s="49"/>
      <c r="J297" s="30"/>
      <c r="K297" s="14"/>
      <c r="L297" s="14"/>
      <c r="M297" s="30"/>
    </row>
    <row r="298" spans="2:13" x14ac:dyDescent="0.25">
      <c r="B298" s="28" t="s">
        <v>214</v>
      </c>
      <c r="C298" s="29" t="s">
        <v>23</v>
      </c>
      <c r="D298" s="29" t="s">
        <v>32</v>
      </c>
      <c r="E298" s="29" t="s">
        <v>33</v>
      </c>
      <c r="F298" s="29"/>
      <c r="G298" s="29"/>
      <c r="H298" s="30"/>
      <c r="I298" s="49"/>
      <c r="J298" s="30"/>
      <c r="K298" s="14"/>
      <c r="L298" s="14"/>
      <c r="M298" s="30"/>
    </row>
    <row r="299" spans="2:13" x14ac:dyDescent="0.25">
      <c r="B299" s="28" t="s">
        <v>214</v>
      </c>
      <c r="C299" s="29" t="s">
        <v>23</v>
      </c>
      <c r="D299" s="29" t="s">
        <v>32</v>
      </c>
      <c r="E299" s="29" t="s">
        <v>157</v>
      </c>
      <c r="F299" s="29"/>
      <c r="G299" s="29"/>
      <c r="H299" s="30"/>
      <c r="I299" s="49"/>
      <c r="J299" s="30"/>
      <c r="K299" s="14"/>
      <c r="L299" s="14"/>
      <c r="M299" s="30"/>
    </row>
    <row r="300" spans="2:13" x14ac:dyDescent="0.25">
      <c r="B300" s="28" t="s">
        <v>214</v>
      </c>
      <c r="C300" s="29" t="s">
        <v>23</v>
      </c>
      <c r="D300" s="29" t="s">
        <v>32</v>
      </c>
      <c r="E300" s="29" t="s">
        <v>158</v>
      </c>
      <c r="F300" s="29"/>
      <c r="G300" s="29"/>
      <c r="H300" s="30"/>
      <c r="I300" s="49"/>
      <c r="J300" s="30"/>
      <c r="K300" s="14"/>
      <c r="L300" s="14"/>
      <c r="M300" s="30"/>
    </row>
    <row r="301" spans="2:13" x14ac:dyDescent="0.25">
      <c r="B301" s="28" t="s">
        <v>214</v>
      </c>
      <c r="C301" s="29" t="s">
        <v>23</v>
      </c>
      <c r="D301" s="29" t="s">
        <v>39</v>
      </c>
      <c r="E301" s="29" t="s">
        <v>40</v>
      </c>
      <c r="F301" s="29"/>
      <c r="G301" s="29"/>
      <c r="H301" s="30"/>
      <c r="I301" s="49"/>
      <c r="J301" s="30"/>
      <c r="K301" s="14"/>
      <c r="L301" s="14"/>
      <c r="M301" s="30"/>
    </row>
    <row r="302" spans="2:13" x14ac:dyDescent="0.25">
      <c r="B302" s="28" t="s">
        <v>214</v>
      </c>
      <c r="C302" s="29" t="s">
        <v>23</v>
      </c>
      <c r="D302" s="29" t="s">
        <v>39</v>
      </c>
      <c r="E302" s="29" t="s">
        <v>42</v>
      </c>
      <c r="F302" s="29"/>
      <c r="G302" s="29"/>
      <c r="H302" s="30"/>
      <c r="I302" s="49"/>
      <c r="J302" s="30"/>
      <c r="K302" s="14"/>
      <c r="L302" s="14"/>
      <c r="M302" s="30"/>
    </row>
    <row r="303" spans="2:13" x14ac:dyDescent="0.25">
      <c r="B303" s="28" t="s">
        <v>214</v>
      </c>
      <c r="C303" s="29" t="s">
        <v>23</v>
      </c>
      <c r="D303" s="29" t="s">
        <v>43</v>
      </c>
      <c r="E303" s="29" t="s">
        <v>44</v>
      </c>
      <c r="F303" s="29"/>
      <c r="G303" s="29"/>
      <c r="H303" s="30"/>
      <c r="I303" s="49"/>
      <c r="J303" s="30"/>
      <c r="K303" s="14"/>
      <c r="L303" s="14"/>
      <c r="M303" s="30"/>
    </row>
    <row r="304" spans="2:13" x14ac:dyDescent="0.25">
      <c r="B304" s="28" t="s">
        <v>214</v>
      </c>
      <c r="C304" s="29" t="s">
        <v>23</v>
      </c>
      <c r="D304" s="29" t="s">
        <v>45</v>
      </c>
      <c r="E304" s="29" t="s">
        <v>160</v>
      </c>
      <c r="F304" s="29"/>
      <c r="G304" s="29"/>
      <c r="H304" s="30"/>
      <c r="I304" s="49"/>
      <c r="J304" s="30"/>
      <c r="K304" s="14"/>
      <c r="L304" s="14"/>
      <c r="M304" s="30"/>
    </row>
    <row r="305" spans="2:13" x14ac:dyDescent="0.25">
      <c r="B305" s="28" t="s">
        <v>214</v>
      </c>
      <c r="C305" s="29" t="s">
        <v>23</v>
      </c>
      <c r="D305" s="29" t="s">
        <v>50</v>
      </c>
      <c r="E305" s="29" t="s">
        <v>124</v>
      </c>
      <c r="F305" s="29"/>
      <c r="G305" s="29"/>
      <c r="H305" s="30"/>
      <c r="I305" s="49"/>
      <c r="J305" s="30"/>
      <c r="K305" s="14"/>
      <c r="L305" s="14"/>
      <c r="M305" s="30"/>
    </row>
    <row r="306" spans="2:13" x14ac:dyDescent="0.25">
      <c r="B306" s="28" t="s">
        <v>214</v>
      </c>
      <c r="C306" s="29" t="s">
        <v>23</v>
      </c>
      <c r="D306" s="29" t="s">
        <v>50</v>
      </c>
      <c r="E306" s="29" t="s">
        <v>125</v>
      </c>
      <c r="F306" s="29"/>
      <c r="G306" s="29"/>
      <c r="H306" s="30"/>
      <c r="I306" s="49"/>
      <c r="J306" s="30"/>
      <c r="K306" s="14"/>
      <c r="L306" s="14"/>
      <c r="M306" s="30"/>
    </row>
    <row r="307" spans="2:13" x14ac:dyDescent="0.25">
      <c r="B307" s="28" t="s">
        <v>214</v>
      </c>
      <c r="C307" s="29" t="s">
        <v>23</v>
      </c>
      <c r="D307" s="29" t="s">
        <v>50</v>
      </c>
      <c r="E307" s="29" t="s">
        <v>126</v>
      </c>
      <c r="F307" s="29"/>
      <c r="G307" s="29"/>
      <c r="H307" s="30"/>
      <c r="I307" s="49"/>
      <c r="J307" s="30"/>
      <c r="K307" s="14"/>
      <c r="L307" s="14"/>
      <c r="M307" s="30"/>
    </row>
    <row r="308" spans="2:13" x14ac:dyDescent="0.25">
      <c r="B308" s="28" t="s">
        <v>214</v>
      </c>
      <c r="C308" s="29" t="s">
        <v>23</v>
      </c>
      <c r="D308" s="29" t="s">
        <v>50</v>
      </c>
      <c r="E308" s="29" t="s">
        <v>55</v>
      </c>
      <c r="F308" s="29"/>
      <c r="G308" s="29"/>
      <c r="H308" s="30"/>
      <c r="I308" s="49"/>
      <c r="J308" s="30"/>
      <c r="K308" s="14"/>
      <c r="L308" s="14"/>
      <c r="M308" s="30"/>
    </row>
    <row r="309" spans="2:13" x14ac:dyDescent="0.25">
      <c r="B309" s="28" t="s">
        <v>214</v>
      </c>
      <c r="C309" s="29" t="s">
        <v>23</v>
      </c>
      <c r="D309" s="29" t="s">
        <v>50</v>
      </c>
      <c r="E309" s="29" t="s">
        <v>217</v>
      </c>
      <c r="F309" s="29"/>
      <c r="G309" s="29"/>
      <c r="H309" s="30"/>
      <c r="I309" s="49"/>
      <c r="J309" s="30"/>
      <c r="K309" s="14"/>
      <c r="L309" s="14"/>
      <c r="M309" s="30"/>
    </row>
    <row r="310" spans="2:13" x14ac:dyDescent="0.25">
      <c r="B310" s="28" t="s">
        <v>214</v>
      </c>
      <c r="C310" s="29" t="s">
        <v>23</v>
      </c>
      <c r="D310" s="29" t="s">
        <v>50</v>
      </c>
      <c r="E310" s="29" t="s">
        <v>164</v>
      </c>
      <c r="F310" s="29"/>
      <c r="G310" s="29"/>
      <c r="H310" s="30"/>
      <c r="I310" s="49"/>
      <c r="J310" s="30"/>
      <c r="K310" s="14"/>
      <c r="L310" s="14"/>
      <c r="M310" s="30"/>
    </row>
    <row r="311" spans="2:13" x14ac:dyDescent="0.25">
      <c r="B311" s="28" t="s">
        <v>214</v>
      </c>
      <c r="C311" s="29" t="s">
        <v>23</v>
      </c>
      <c r="D311" s="29" t="s">
        <v>50</v>
      </c>
      <c r="E311" s="29" t="s">
        <v>122</v>
      </c>
      <c r="F311" s="29"/>
      <c r="G311" s="29"/>
      <c r="H311" s="30"/>
      <c r="I311" s="49"/>
      <c r="J311" s="30"/>
      <c r="K311" s="14"/>
      <c r="L311" s="14"/>
      <c r="M311" s="30"/>
    </row>
    <row r="312" spans="2:13" x14ac:dyDescent="0.25">
      <c r="B312" s="28" t="s">
        <v>214</v>
      </c>
      <c r="C312" s="29" t="s">
        <v>23</v>
      </c>
      <c r="D312" s="29" t="s">
        <v>50</v>
      </c>
      <c r="E312" s="29" t="s">
        <v>69</v>
      </c>
      <c r="F312" s="29"/>
      <c r="G312" s="29"/>
      <c r="H312" s="30"/>
      <c r="I312" s="49"/>
      <c r="J312" s="30"/>
      <c r="K312" s="14"/>
      <c r="L312" s="14"/>
      <c r="M312" s="30"/>
    </row>
    <row r="313" spans="2:13" x14ac:dyDescent="0.25">
      <c r="B313" s="28" t="s">
        <v>214</v>
      </c>
      <c r="C313" s="29" t="s">
        <v>23</v>
      </c>
      <c r="D313" s="29" t="s">
        <v>50</v>
      </c>
      <c r="E313" s="29" t="s">
        <v>167</v>
      </c>
      <c r="F313" s="29"/>
      <c r="G313" s="29"/>
      <c r="H313" s="30"/>
      <c r="I313" s="49"/>
      <c r="J313" s="30"/>
      <c r="K313" s="14"/>
      <c r="L313" s="14"/>
      <c r="M313" s="30"/>
    </row>
    <row r="314" spans="2:13" x14ac:dyDescent="0.25">
      <c r="B314" s="28" t="s">
        <v>214</v>
      </c>
      <c r="C314" s="29" t="s">
        <v>23</v>
      </c>
      <c r="D314" s="29" t="s">
        <v>50</v>
      </c>
      <c r="E314" s="29" t="s">
        <v>169</v>
      </c>
      <c r="F314" s="29"/>
      <c r="G314" s="29"/>
      <c r="H314" s="30"/>
      <c r="I314" s="49"/>
      <c r="J314" s="30"/>
      <c r="K314" s="14"/>
      <c r="L314" s="14"/>
      <c r="M314" s="30"/>
    </row>
    <row r="315" spans="2:13" x14ac:dyDescent="0.25">
      <c r="B315" s="28" t="s">
        <v>214</v>
      </c>
      <c r="C315" s="29" t="s">
        <v>23</v>
      </c>
      <c r="D315" s="29" t="s">
        <v>80</v>
      </c>
      <c r="E315" s="29" t="s">
        <v>170</v>
      </c>
      <c r="F315" s="29"/>
      <c r="G315" s="29"/>
      <c r="H315" s="30"/>
      <c r="I315" s="49"/>
      <c r="J315" s="30"/>
      <c r="K315" s="14"/>
      <c r="L315" s="14"/>
      <c r="M315" s="30"/>
    </row>
    <row r="316" spans="2:13" x14ac:dyDescent="0.25">
      <c r="B316" s="28" t="s">
        <v>214</v>
      </c>
      <c r="C316" s="29" t="s">
        <v>23</v>
      </c>
      <c r="D316" s="29" t="s">
        <v>80</v>
      </c>
      <c r="E316" s="29" t="s">
        <v>171</v>
      </c>
      <c r="F316" s="29"/>
      <c r="G316" s="29"/>
      <c r="H316" s="30"/>
      <c r="I316" s="49"/>
      <c r="J316" s="30"/>
      <c r="K316" s="14"/>
      <c r="L316" s="14"/>
      <c r="M316" s="30"/>
    </row>
    <row r="317" spans="2:13" x14ac:dyDescent="0.25">
      <c r="B317" s="28" t="s">
        <v>214</v>
      </c>
      <c r="C317" s="29" t="s">
        <v>23</v>
      </c>
      <c r="D317" s="29" t="s">
        <v>80</v>
      </c>
      <c r="E317" s="29" t="s">
        <v>172</v>
      </c>
      <c r="F317" s="29"/>
      <c r="G317" s="29"/>
      <c r="H317" s="30"/>
      <c r="I317" s="49"/>
      <c r="J317" s="30"/>
      <c r="K317" s="14"/>
      <c r="L317" s="14"/>
      <c r="M317" s="30"/>
    </row>
    <row r="318" spans="2:13" x14ac:dyDescent="0.25">
      <c r="B318" s="28" t="s">
        <v>214</v>
      </c>
      <c r="C318" s="29" t="s">
        <v>23</v>
      </c>
      <c r="D318" s="29" t="s">
        <v>80</v>
      </c>
      <c r="E318" s="29" t="s">
        <v>173</v>
      </c>
      <c r="F318" s="29"/>
      <c r="G318" s="29"/>
      <c r="H318" s="30"/>
      <c r="I318" s="49"/>
      <c r="J318" s="30"/>
      <c r="K318" s="14"/>
      <c r="L318" s="14"/>
      <c r="M318" s="30"/>
    </row>
    <row r="319" spans="2:13" x14ac:dyDescent="0.25">
      <c r="B319" s="28" t="s">
        <v>214</v>
      </c>
      <c r="C319" s="29" t="s">
        <v>23</v>
      </c>
      <c r="D319" s="29" t="s">
        <v>80</v>
      </c>
      <c r="E319" s="29" t="s">
        <v>175</v>
      </c>
      <c r="F319" s="29"/>
      <c r="G319" s="29"/>
      <c r="H319" s="30"/>
      <c r="I319" s="49"/>
      <c r="J319" s="30"/>
      <c r="K319" s="14"/>
      <c r="L319" s="14"/>
      <c r="M319" s="30"/>
    </row>
    <row r="320" spans="2:13" x14ac:dyDescent="0.25">
      <c r="B320" s="28" t="s">
        <v>214</v>
      </c>
      <c r="C320" s="29" t="s">
        <v>23</v>
      </c>
      <c r="D320" s="29" t="s">
        <v>80</v>
      </c>
      <c r="E320" s="29" t="s">
        <v>176</v>
      </c>
      <c r="F320" s="29"/>
      <c r="G320" s="29"/>
      <c r="H320" s="30"/>
      <c r="I320" s="49"/>
      <c r="J320" s="30"/>
      <c r="K320" s="14"/>
      <c r="L320" s="14"/>
      <c r="M320" s="30"/>
    </row>
    <row r="321" spans="2:13" x14ac:dyDescent="0.25">
      <c r="B321" s="28" t="s">
        <v>214</v>
      </c>
      <c r="C321" s="29" t="s">
        <v>23</v>
      </c>
      <c r="D321" s="29" t="s">
        <v>80</v>
      </c>
      <c r="E321" s="29" t="s">
        <v>177</v>
      </c>
      <c r="F321" s="29"/>
      <c r="G321" s="29"/>
      <c r="H321" s="30"/>
      <c r="I321" s="49"/>
      <c r="J321" s="30"/>
      <c r="K321" s="14"/>
      <c r="L321" s="14"/>
      <c r="M321" s="30"/>
    </row>
    <row r="322" spans="2:13" x14ac:dyDescent="0.25">
      <c r="B322" s="28" t="s">
        <v>214</v>
      </c>
      <c r="C322" s="29" t="s">
        <v>23</v>
      </c>
      <c r="D322" s="29" t="s">
        <v>83</v>
      </c>
      <c r="E322" s="29" t="s">
        <v>178</v>
      </c>
      <c r="F322" s="29"/>
      <c r="G322" s="29"/>
      <c r="H322" s="30"/>
      <c r="I322" s="49"/>
      <c r="J322" s="30"/>
      <c r="K322" s="14"/>
      <c r="L322" s="14"/>
      <c r="M322" s="30"/>
    </row>
    <row r="323" spans="2:13" x14ac:dyDescent="0.25">
      <c r="B323" s="28" t="s">
        <v>214</v>
      </c>
      <c r="C323" s="29" t="s">
        <v>23</v>
      </c>
      <c r="D323" s="29" t="s">
        <v>83</v>
      </c>
      <c r="E323" s="29" t="s">
        <v>179</v>
      </c>
      <c r="F323" s="29"/>
      <c r="G323" s="29"/>
      <c r="H323" s="30"/>
      <c r="I323" s="49"/>
      <c r="J323" s="30"/>
      <c r="K323" s="14"/>
      <c r="L323" s="14"/>
      <c r="M323" s="30"/>
    </row>
    <row r="324" spans="2:13" x14ac:dyDescent="0.25">
      <c r="B324" s="28" t="s">
        <v>214</v>
      </c>
      <c r="C324" s="29" t="s">
        <v>23</v>
      </c>
      <c r="D324" s="29" t="s">
        <v>91</v>
      </c>
      <c r="E324" s="29" t="s">
        <v>182</v>
      </c>
      <c r="F324" s="29"/>
      <c r="G324" s="29"/>
      <c r="H324" s="30"/>
      <c r="I324" s="49"/>
      <c r="J324" s="30"/>
      <c r="K324" s="14"/>
      <c r="L324" s="14"/>
      <c r="M324" s="30"/>
    </row>
    <row r="325" spans="2:13" x14ac:dyDescent="0.25">
      <c r="B325" s="28" t="s">
        <v>214</v>
      </c>
      <c r="C325" s="29" t="s">
        <v>23</v>
      </c>
      <c r="D325" s="29" t="s">
        <v>91</v>
      </c>
      <c r="E325" s="29" t="s">
        <v>183</v>
      </c>
      <c r="F325" s="29"/>
      <c r="G325" s="29"/>
      <c r="H325" s="30"/>
      <c r="I325" s="49"/>
      <c r="J325" s="30"/>
      <c r="K325" s="14"/>
      <c r="L325" s="14"/>
      <c r="M325" s="30"/>
    </row>
    <row r="326" spans="2:13" x14ac:dyDescent="0.25">
      <c r="B326" s="28" t="s">
        <v>214</v>
      </c>
      <c r="C326" s="29" t="s">
        <v>23</v>
      </c>
      <c r="D326" s="29" t="s">
        <v>93</v>
      </c>
      <c r="E326" s="29" t="s">
        <v>185</v>
      </c>
      <c r="F326" s="29"/>
      <c r="G326" s="29"/>
      <c r="H326" s="30"/>
      <c r="I326" s="49"/>
      <c r="J326" s="30"/>
      <c r="K326" s="14"/>
      <c r="L326" s="14"/>
      <c r="M326" s="30"/>
    </row>
    <row r="327" spans="2:13" x14ac:dyDescent="0.25">
      <c r="B327" s="28" t="s">
        <v>214</v>
      </c>
      <c r="C327" s="29" t="s">
        <v>23</v>
      </c>
      <c r="D327" s="29" t="s">
        <v>95</v>
      </c>
      <c r="E327" s="29" t="s">
        <v>187</v>
      </c>
      <c r="F327" s="29"/>
      <c r="G327" s="29"/>
      <c r="H327" s="30"/>
      <c r="I327" s="49"/>
      <c r="J327" s="30"/>
      <c r="K327" s="14"/>
      <c r="L327" s="14"/>
      <c r="M327" s="30"/>
    </row>
    <row r="328" spans="2:13" x14ac:dyDescent="0.25">
      <c r="B328" s="28" t="s">
        <v>214</v>
      </c>
      <c r="C328" s="29" t="s">
        <v>23</v>
      </c>
      <c r="D328" s="29" t="s">
        <v>97</v>
      </c>
      <c r="E328" s="29" t="s">
        <v>189</v>
      </c>
      <c r="F328" s="29"/>
      <c r="G328" s="29"/>
      <c r="H328" s="30"/>
      <c r="I328" s="49"/>
      <c r="J328" s="30"/>
      <c r="K328" s="14"/>
      <c r="L328" s="14"/>
      <c r="M328" s="30"/>
    </row>
    <row r="329" spans="2:13" x14ac:dyDescent="0.25">
      <c r="B329" s="28" t="s">
        <v>214</v>
      </c>
      <c r="C329" s="29" t="s">
        <v>23</v>
      </c>
      <c r="D329" s="29" t="s">
        <v>97</v>
      </c>
      <c r="E329" s="29" t="s">
        <v>99</v>
      </c>
      <c r="F329" s="29"/>
      <c r="G329" s="29"/>
      <c r="H329" s="30"/>
      <c r="I329" s="49"/>
      <c r="J329" s="30"/>
      <c r="K329" s="14"/>
      <c r="L329" s="14"/>
      <c r="M329" s="30"/>
    </row>
    <row r="330" spans="2:13" x14ac:dyDescent="0.25">
      <c r="B330" s="28" t="s">
        <v>214</v>
      </c>
      <c r="C330" s="29" t="s">
        <v>23</v>
      </c>
      <c r="D330" s="29" t="s">
        <v>97</v>
      </c>
      <c r="E330" s="29" t="s">
        <v>190</v>
      </c>
      <c r="F330" s="29"/>
      <c r="G330" s="29"/>
      <c r="H330" s="30"/>
      <c r="I330" s="49"/>
      <c r="J330" s="30"/>
      <c r="K330" s="14"/>
      <c r="L330" s="14"/>
      <c r="M330" s="30"/>
    </row>
    <row r="331" spans="2:13" x14ac:dyDescent="0.25">
      <c r="B331" s="28" t="s">
        <v>214</v>
      </c>
      <c r="C331" s="29" t="s">
        <v>23</v>
      </c>
      <c r="D331" s="29" t="s">
        <v>97</v>
      </c>
      <c r="E331" s="29" t="s">
        <v>194</v>
      </c>
      <c r="F331" s="29"/>
      <c r="G331" s="29"/>
      <c r="H331" s="30"/>
      <c r="I331" s="49"/>
      <c r="J331" s="30"/>
      <c r="K331" s="14"/>
      <c r="L331" s="14"/>
      <c r="M331" s="30"/>
    </row>
    <row r="332" spans="2:13" x14ac:dyDescent="0.25">
      <c r="B332" s="28" t="s">
        <v>214</v>
      </c>
      <c r="C332" s="29" t="s">
        <v>23</v>
      </c>
      <c r="D332" s="29" t="s">
        <v>97</v>
      </c>
      <c r="E332" s="29" t="s">
        <v>195</v>
      </c>
      <c r="F332" s="29"/>
      <c r="G332" s="29"/>
      <c r="H332" s="30"/>
      <c r="I332" s="49"/>
      <c r="J332" s="30"/>
      <c r="K332" s="14"/>
      <c r="L332" s="14"/>
      <c r="M332" s="30"/>
    </row>
    <row r="333" spans="2:13" x14ac:dyDescent="0.25">
      <c r="B333" s="28" t="s">
        <v>214</v>
      </c>
      <c r="C333" s="29" t="s">
        <v>23</v>
      </c>
      <c r="D333" s="29" t="s">
        <v>97</v>
      </c>
      <c r="E333" s="29" t="s">
        <v>196</v>
      </c>
      <c r="F333" s="29"/>
      <c r="G333" s="29"/>
      <c r="H333" s="30"/>
      <c r="I333" s="49"/>
      <c r="J333" s="30"/>
      <c r="K333" s="14"/>
      <c r="L333" s="14"/>
      <c r="M333" s="30"/>
    </row>
    <row r="334" spans="2:13" x14ac:dyDescent="0.25">
      <c r="B334" s="28" t="s">
        <v>214</v>
      </c>
      <c r="C334" s="29" t="s">
        <v>23</v>
      </c>
      <c r="D334" s="29" t="s">
        <v>97</v>
      </c>
      <c r="E334" s="29" t="s">
        <v>197</v>
      </c>
      <c r="F334" s="29"/>
      <c r="G334" s="29"/>
      <c r="H334" s="30"/>
      <c r="I334" s="49"/>
      <c r="J334" s="30"/>
      <c r="K334" s="14"/>
      <c r="L334" s="14"/>
      <c r="M334" s="30"/>
    </row>
    <row r="335" spans="2:13" x14ac:dyDescent="0.25">
      <c r="B335" s="28" t="s">
        <v>214</v>
      </c>
      <c r="C335" s="29" t="s">
        <v>23</v>
      </c>
      <c r="D335" s="29" t="s">
        <v>97</v>
      </c>
      <c r="E335" s="29" t="s">
        <v>199</v>
      </c>
      <c r="F335" s="29"/>
      <c r="G335" s="29"/>
      <c r="H335" s="30"/>
      <c r="I335" s="49"/>
      <c r="J335" s="30"/>
      <c r="K335" s="14"/>
      <c r="L335" s="14"/>
      <c r="M335" s="30"/>
    </row>
    <row r="336" spans="2:13" x14ac:dyDescent="0.25">
      <c r="B336" s="28" t="s">
        <v>214</v>
      </c>
      <c r="C336" s="29" t="s">
        <v>23</v>
      </c>
      <c r="D336" s="29" t="s">
        <v>97</v>
      </c>
      <c r="E336" s="29" t="s">
        <v>200</v>
      </c>
      <c r="F336" s="29"/>
      <c r="G336" s="29"/>
      <c r="H336" s="30"/>
      <c r="I336" s="49"/>
      <c r="J336" s="30"/>
      <c r="K336" s="14"/>
      <c r="L336" s="14"/>
      <c r="M336" s="30"/>
    </row>
    <row r="337" spans="2:13" x14ac:dyDescent="0.25">
      <c r="B337" s="28" t="s">
        <v>214</v>
      </c>
      <c r="C337" s="29" t="s">
        <v>23</v>
      </c>
      <c r="D337" s="29" t="s">
        <v>97</v>
      </c>
      <c r="E337" s="29" t="s">
        <v>201</v>
      </c>
      <c r="F337" s="29"/>
      <c r="G337" s="29"/>
      <c r="H337" s="30"/>
      <c r="I337" s="49"/>
      <c r="J337" s="30"/>
      <c r="K337" s="14"/>
      <c r="L337" s="14"/>
      <c r="M337" s="30"/>
    </row>
    <row r="338" spans="2:13" x14ac:dyDescent="0.25">
      <c r="B338" s="28" t="s">
        <v>214</v>
      </c>
      <c r="C338" s="29" t="s">
        <v>23</v>
      </c>
      <c r="D338" s="29" t="s">
        <v>115</v>
      </c>
      <c r="E338" s="29" t="s">
        <v>204</v>
      </c>
      <c r="F338" s="29"/>
      <c r="G338" s="29"/>
      <c r="H338" s="30"/>
      <c r="I338" s="49"/>
      <c r="J338" s="30"/>
      <c r="K338" s="14"/>
      <c r="L338" s="14"/>
      <c r="M338" s="30"/>
    </row>
    <row r="339" spans="2:13" x14ac:dyDescent="0.25">
      <c r="B339" s="28" t="s">
        <v>218</v>
      </c>
      <c r="C339" s="9" t="s">
        <v>207</v>
      </c>
      <c r="D339" s="8" t="s">
        <v>14</v>
      </c>
      <c r="E339" s="31" t="s">
        <v>207</v>
      </c>
      <c r="F339" s="29"/>
      <c r="G339" s="29"/>
      <c r="H339" s="30"/>
      <c r="I339" s="49"/>
      <c r="J339" s="29"/>
      <c r="K339" s="14"/>
      <c r="L339" s="14"/>
      <c r="M339" s="30"/>
    </row>
    <row r="340" spans="2:13" x14ac:dyDescent="0.25">
      <c r="B340" s="28" t="s">
        <v>218</v>
      </c>
      <c r="C340" s="8" t="s">
        <v>14</v>
      </c>
      <c r="D340" s="8" t="s">
        <v>14</v>
      </c>
      <c r="E340" s="29" t="s">
        <v>15</v>
      </c>
      <c r="F340" s="30"/>
      <c r="G340" s="29"/>
      <c r="H340" s="30">
        <v>20</v>
      </c>
      <c r="I340" s="49">
        <v>1</v>
      </c>
      <c r="J340" s="30" t="s">
        <v>16</v>
      </c>
      <c r="K340" s="16">
        <v>46087</v>
      </c>
      <c r="L340" s="14"/>
      <c r="M340" s="30"/>
    </row>
    <row r="341" spans="2:13" x14ac:dyDescent="0.25">
      <c r="B341" s="28" t="s">
        <v>218</v>
      </c>
      <c r="C341" s="8" t="s">
        <v>14</v>
      </c>
      <c r="D341" s="8" t="s">
        <v>14</v>
      </c>
      <c r="E341" s="29" t="s">
        <v>18</v>
      </c>
      <c r="F341" s="30"/>
      <c r="G341" s="29"/>
      <c r="H341" s="30">
        <v>22</v>
      </c>
      <c r="I341" s="49">
        <v>1</v>
      </c>
      <c r="J341" s="30" t="s">
        <v>26</v>
      </c>
      <c r="K341" s="16">
        <v>46085</v>
      </c>
      <c r="L341" s="14"/>
      <c r="M341" s="53" t="s">
        <v>219</v>
      </c>
    </row>
    <row r="342" spans="2:13" x14ac:dyDescent="0.25">
      <c r="B342" s="28" t="s">
        <v>218</v>
      </c>
      <c r="C342" s="8" t="s">
        <v>14</v>
      </c>
      <c r="D342" s="8" t="s">
        <v>14</v>
      </c>
      <c r="E342" s="29" t="s">
        <v>21</v>
      </c>
      <c r="F342" s="30"/>
      <c r="G342" s="29"/>
      <c r="H342" s="30">
        <v>22</v>
      </c>
      <c r="I342" s="49">
        <v>1</v>
      </c>
      <c r="J342" s="30" t="s">
        <v>26</v>
      </c>
      <c r="K342" s="16">
        <v>46085</v>
      </c>
      <c r="L342" s="14"/>
      <c r="M342" s="53" t="s">
        <v>219</v>
      </c>
    </row>
    <row r="343" spans="2:13" x14ac:dyDescent="0.25">
      <c r="B343" s="28" t="s">
        <v>218</v>
      </c>
      <c r="C343" s="29" t="s">
        <v>23</v>
      </c>
      <c r="D343" s="29" t="s">
        <v>24</v>
      </c>
      <c r="E343" s="29" t="s">
        <v>25</v>
      </c>
      <c r="F343" s="29"/>
      <c r="G343" s="29"/>
      <c r="H343" s="30"/>
      <c r="I343" s="49"/>
      <c r="J343" s="30"/>
      <c r="K343" s="14"/>
      <c r="L343" s="14"/>
      <c r="M343" s="30"/>
    </row>
    <row r="344" spans="2:13" x14ac:dyDescent="0.25">
      <c r="B344" s="28" t="s">
        <v>218</v>
      </c>
      <c r="C344" s="29" t="s">
        <v>23</v>
      </c>
      <c r="D344" s="29" t="s">
        <v>28</v>
      </c>
      <c r="E344" s="29" t="s">
        <v>29</v>
      </c>
      <c r="F344" s="29"/>
      <c r="G344" s="29"/>
      <c r="H344" s="30"/>
      <c r="I344" s="49"/>
      <c r="J344" s="30"/>
      <c r="K344" s="14"/>
      <c r="L344" s="14"/>
      <c r="M344" s="30"/>
    </row>
    <row r="345" spans="2:13" x14ac:dyDescent="0.25">
      <c r="B345" s="28" t="s">
        <v>218</v>
      </c>
      <c r="C345" s="29" t="s">
        <v>23</v>
      </c>
      <c r="D345" s="29" t="s">
        <v>32</v>
      </c>
      <c r="E345" s="29" t="s">
        <v>33</v>
      </c>
      <c r="F345" s="29"/>
      <c r="G345" s="29"/>
      <c r="H345" s="30"/>
      <c r="I345" s="49"/>
      <c r="J345" s="30"/>
      <c r="K345" s="14"/>
      <c r="L345" s="14"/>
      <c r="M345" s="30"/>
    </row>
    <row r="346" spans="2:13" x14ac:dyDescent="0.25">
      <c r="B346" s="28" t="s">
        <v>218</v>
      </c>
      <c r="C346" s="29" t="s">
        <v>23</v>
      </c>
      <c r="D346" s="29" t="s">
        <v>32</v>
      </c>
      <c r="E346" s="29" t="s">
        <v>38</v>
      </c>
      <c r="F346" s="29"/>
      <c r="G346" s="29"/>
      <c r="H346" s="30"/>
      <c r="I346" s="49"/>
      <c r="J346" s="30"/>
      <c r="K346" s="14"/>
      <c r="L346" s="14"/>
      <c r="M346" s="30"/>
    </row>
    <row r="347" spans="2:13" x14ac:dyDescent="0.25">
      <c r="B347" s="28" t="s">
        <v>218</v>
      </c>
      <c r="C347" s="29" t="s">
        <v>23</v>
      </c>
      <c r="D347" s="29" t="s">
        <v>32</v>
      </c>
      <c r="E347" s="29" t="s">
        <v>157</v>
      </c>
      <c r="F347" s="29"/>
      <c r="G347" s="29"/>
      <c r="H347" s="30"/>
      <c r="I347" s="49"/>
      <c r="J347" s="30"/>
      <c r="K347" s="14"/>
      <c r="L347" s="14"/>
      <c r="M347" s="30"/>
    </row>
    <row r="348" spans="2:13" x14ac:dyDescent="0.25">
      <c r="B348" s="28" t="s">
        <v>218</v>
      </c>
      <c r="C348" s="29" t="s">
        <v>23</v>
      </c>
      <c r="D348" s="29" t="s">
        <v>32</v>
      </c>
      <c r="E348" s="29" t="s">
        <v>158</v>
      </c>
      <c r="F348" s="29"/>
      <c r="G348" s="29"/>
      <c r="H348" s="30"/>
      <c r="I348" s="49"/>
      <c r="J348" s="30"/>
      <c r="K348" s="14"/>
      <c r="L348" s="14"/>
      <c r="M348" s="30"/>
    </row>
    <row r="349" spans="2:13" x14ac:dyDescent="0.25">
      <c r="B349" s="28" t="s">
        <v>218</v>
      </c>
      <c r="C349" s="29" t="s">
        <v>23</v>
      </c>
      <c r="D349" s="29" t="s">
        <v>39</v>
      </c>
      <c r="E349" s="29" t="s">
        <v>40</v>
      </c>
      <c r="F349" s="29"/>
      <c r="G349" s="29"/>
      <c r="H349" s="30"/>
      <c r="I349" s="49"/>
      <c r="J349" s="30"/>
      <c r="K349" s="14"/>
      <c r="L349" s="14"/>
      <c r="M349" s="30"/>
    </row>
    <row r="350" spans="2:13" x14ac:dyDescent="0.25">
      <c r="B350" s="28" t="s">
        <v>218</v>
      </c>
      <c r="C350" s="29" t="s">
        <v>23</v>
      </c>
      <c r="D350" s="29" t="s">
        <v>39</v>
      </c>
      <c r="E350" s="29" t="s">
        <v>42</v>
      </c>
      <c r="F350" s="29"/>
      <c r="G350" s="29"/>
      <c r="H350" s="30"/>
      <c r="I350" s="49"/>
      <c r="J350" s="30"/>
      <c r="K350" s="14"/>
      <c r="L350" s="14"/>
      <c r="M350" s="30"/>
    </row>
    <row r="351" spans="2:13" x14ac:dyDescent="0.25">
      <c r="B351" s="28" t="s">
        <v>218</v>
      </c>
      <c r="C351" s="29" t="s">
        <v>23</v>
      </c>
      <c r="D351" s="29" t="s">
        <v>43</v>
      </c>
      <c r="E351" s="29" t="s">
        <v>44</v>
      </c>
      <c r="F351" s="29"/>
      <c r="G351" s="29"/>
      <c r="H351" s="30"/>
      <c r="I351" s="49"/>
      <c r="J351" s="30"/>
      <c r="K351" s="14"/>
      <c r="L351" s="14"/>
      <c r="M351" s="30"/>
    </row>
    <row r="352" spans="2:13" x14ac:dyDescent="0.25">
      <c r="B352" s="28" t="s">
        <v>218</v>
      </c>
      <c r="C352" s="29" t="s">
        <v>23</v>
      </c>
      <c r="D352" s="29" t="s">
        <v>45</v>
      </c>
      <c r="E352" s="29" t="s">
        <v>159</v>
      </c>
      <c r="F352" s="29"/>
      <c r="G352" s="29"/>
      <c r="H352" s="30"/>
      <c r="I352" s="49"/>
      <c r="J352" s="30"/>
      <c r="K352" s="14"/>
      <c r="L352" s="14"/>
      <c r="M352" s="30"/>
    </row>
    <row r="353" spans="2:13" x14ac:dyDescent="0.25">
      <c r="B353" s="28" t="s">
        <v>218</v>
      </c>
      <c r="C353" s="29" t="s">
        <v>23</v>
      </c>
      <c r="D353" s="29" t="s">
        <v>45</v>
      </c>
      <c r="E353" s="29" t="s">
        <v>47</v>
      </c>
      <c r="F353" s="29"/>
      <c r="G353" s="29"/>
      <c r="H353" s="30"/>
      <c r="I353" s="49"/>
      <c r="J353" s="30"/>
      <c r="K353" s="14"/>
      <c r="L353" s="14"/>
      <c r="M353" s="30"/>
    </row>
    <row r="354" spans="2:13" x14ac:dyDescent="0.25">
      <c r="B354" s="28" t="s">
        <v>218</v>
      </c>
      <c r="C354" s="29" t="s">
        <v>23</v>
      </c>
      <c r="D354" s="29" t="s">
        <v>45</v>
      </c>
      <c r="E354" s="29" t="s">
        <v>160</v>
      </c>
      <c r="F354" s="29"/>
      <c r="G354" s="29"/>
      <c r="H354" s="30"/>
      <c r="I354" s="49"/>
      <c r="J354" s="30"/>
      <c r="K354" s="14"/>
      <c r="L354" s="14"/>
      <c r="M354" s="30"/>
    </row>
    <row r="355" spans="2:13" x14ac:dyDescent="0.25">
      <c r="B355" s="28" t="s">
        <v>218</v>
      </c>
      <c r="C355" s="29" t="s">
        <v>23</v>
      </c>
      <c r="D355" s="29" t="s">
        <v>45</v>
      </c>
      <c r="E355" s="29" t="s">
        <v>161</v>
      </c>
      <c r="F355" s="29"/>
      <c r="G355" s="29"/>
      <c r="H355" s="30"/>
      <c r="I355" s="49"/>
      <c r="J355" s="30"/>
      <c r="K355" s="14"/>
      <c r="L355" s="14"/>
      <c r="M355" s="30"/>
    </row>
    <row r="356" spans="2:13" x14ac:dyDescent="0.25">
      <c r="B356" s="28" t="s">
        <v>218</v>
      </c>
      <c r="C356" s="29" t="s">
        <v>23</v>
      </c>
      <c r="D356" s="29" t="s">
        <v>50</v>
      </c>
      <c r="E356" s="29" t="s">
        <v>124</v>
      </c>
      <c r="F356" s="29"/>
      <c r="G356" s="29"/>
      <c r="H356" s="30"/>
      <c r="I356" s="49"/>
      <c r="J356" s="30"/>
      <c r="K356" s="14"/>
      <c r="L356" s="14"/>
      <c r="M356" s="30"/>
    </row>
    <row r="357" spans="2:13" x14ac:dyDescent="0.25">
      <c r="B357" s="28" t="s">
        <v>218</v>
      </c>
      <c r="C357" s="29" t="s">
        <v>23</v>
      </c>
      <c r="D357" s="29" t="s">
        <v>50</v>
      </c>
      <c r="E357" s="29" t="s">
        <v>125</v>
      </c>
      <c r="F357" s="29"/>
      <c r="G357" s="29"/>
      <c r="H357" s="30"/>
      <c r="I357" s="49"/>
      <c r="J357" s="30"/>
      <c r="K357" s="14"/>
      <c r="L357" s="14"/>
      <c r="M357" s="30"/>
    </row>
    <row r="358" spans="2:13" x14ac:dyDescent="0.25">
      <c r="B358" s="28" t="s">
        <v>218</v>
      </c>
      <c r="C358" s="29" t="s">
        <v>23</v>
      </c>
      <c r="D358" s="29" t="s">
        <v>50</v>
      </c>
      <c r="E358" s="29" t="s">
        <v>126</v>
      </c>
      <c r="F358" s="29"/>
      <c r="G358" s="29"/>
      <c r="H358" s="30"/>
      <c r="I358" s="49"/>
      <c r="J358" s="30"/>
      <c r="K358" s="14"/>
      <c r="L358" s="14"/>
      <c r="M358" s="30"/>
    </row>
    <row r="359" spans="2:13" x14ac:dyDescent="0.25">
      <c r="B359" s="28" t="s">
        <v>218</v>
      </c>
      <c r="C359" s="29" t="s">
        <v>23</v>
      </c>
      <c r="D359" s="29" t="s">
        <v>50</v>
      </c>
      <c r="E359" s="29" t="s">
        <v>55</v>
      </c>
      <c r="F359" s="29"/>
      <c r="G359" s="29"/>
      <c r="H359" s="30"/>
      <c r="I359" s="49"/>
      <c r="J359" s="30"/>
      <c r="K359" s="14"/>
      <c r="L359" s="14"/>
      <c r="M359" s="30"/>
    </row>
    <row r="360" spans="2:13" x14ac:dyDescent="0.25">
      <c r="B360" s="28" t="s">
        <v>218</v>
      </c>
      <c r="C360" s="29" t="s">
        <v>23</v>
      </c>
      <c r="D360" s="29" t="s">
        <v>50</v>
      </c>
      <c r="E360" s="29" t="s">
        <v>127</v>
      </c>
      <c r="F360" s="29"/>
      <c r="G360" s="29"/>
      <c r="H360" s="30"/>
      <c r="I360" s="49"/>
      <c r="J360" s="30"/>
      <c r="K360" s="14"/>
      <c r="L360" s="14"/>
      <c r="M360" s="30"/>
    </row>
    <row r="361" spans="2:13" x14ac:dyDescent="0.25">
      <c r="B361" s="28" t="s">
        <v>218</v>
      </c>
      <c r="C361" s="29" t="s">
        <v>23</v>
      </c>
      <c r="D361" s="29" t="s">
        <v>50</v>
      </c>
      <c r="E361" s="29" t="s">
        <v>128</v>
      </c>
      <c r="F361" s="29"/>
      <c r="G361" s="29"/>
      <c r="H361" s="30"/>
      <c r="I361" s="49"/>
      <c r="J361" s="30"/>
      <c r="K361" s="14"/>
      <c r="L361" s="14"/>
      <c r="M361" s="30"/>
    </row>
    <row r="362" spans="2:13" x14ac:dyDescent="0.25">
      <c r="B362" s="28" t="s">
        <v>218</v>
      </c>
      <c r="C362" s="29" t="s">
        <v>23</v>
      </c>
      <c r="D362" s="29" t="s">
        <v>50</v>
      </c>
      <c r="E362" s="29" t="s">
        <v>129</v>
      </c>
      <c r="F362" s="29"/>
      <c r="G362" s="29"/>
      <c r="H362" s="30"/>
      <c r="I362" s="49"/>
      <c r="J362" s="30"/>
      <c r="K362" s="14"/>
      <c r="L362" s="14"/>
      <c r="M362" s="30"/>
    </row>
    <row r="363" spans="2:13" x14ac:dyDescent="0.25">
      <c r="B363" s="28" t="s">
        <v>218</v>
      </c>
      <c r="C363" s="29" t="s">
        <v>23</v>
      </c>
      <c r="D363" s="29" t="s">
        <v>50</v>
      </c>
      <c r="E363" s="29" t="s">
        <v>162</v>
      </c>
      <c r="F363" s="29"/>
      <c r="G363" s="29"/>
      <c r="H363" s="30"/>
      <c r="I363" s="49"/>
      <c r="J363" s="30"/>
      <c r="K363" s="14"/>
      <c r="L363" s="14"/>
      <c r="M363" s="30"/>
    </row>
    <row r="364" spans="2:13" x14ac:dyDescent="0.25">
      <c r="B364" s="28" t="s">
        <v>218</v>
      </c>
      <c r="C364" s="29" t="s">
        <v>23</v>
      </c>
      <c r="D364" s="29" t="s">
        <v>50</v>
      </c>
      <c r="E364" s="29" t="s">
        <v>163</v>
      </c>
      <c r="F364" s="29"/>
      <c r="G364" s="29"/>
      <c r="H364" s="30"/>
      <c r="I364" s="49"/>
      <c r="J364" s="30"/>
      <c r="K364" s="14"/>
      <c r="L364" s="14"/>
      <c r="M364" s="30"/>
    </row>
    <row r="365" spans="2:13" x14ac:dyDescent="0.25">
      <c r="B365" s="28" t="s">
        <v>218</v>
      </c>
      <c r="C365" s="29" t="s">
        <v>23</v>
      </c>
      <c r="D365" s="29" t="s">
        <v>50</v>
      </c>
      <c r="E365" s="29" t="s">
        <v>54</v>
      </c>
      <c r="F365" s="29"/>
      <c r="G365" s="29"/>
      <c r="H365" s="30"/>
      <c r="I365" s="49"/>
      <c r="J365" s="30"/>
      <c r="K365" s="14"/>
      <c r="L365" s="14"/>
      <c r="M365" s="30"/>
    </row>
    <row r="366" spans="2:13" x14ac:dyDescent="0.25">
      <c r="B366" s="28" t="s">
        <v>218</v>
      </c>
      <c r="C366" s="29" t="s">
        <v>23</v>
      </c>
      <c r="D366" s="29" t="s">
        <v>50</v>
      </c>
      <c r="E366" s="29" t="s">
        <v>130</v>
      </c>
      <c r="F366" s="29"/>
      <c r="G366" s="29"/>
      <c r="H366" s="30"/>
      <c r="I366" s="49"/>
      <c r="J366" s="30"/>
      <c r="K366" s="14"/>
      <c r="L366" s="14"/>
      <c r="M366" s="30"/>
    </row>
    <row r="367" spans="2:13" x14ac:dyDescent="0.25">
      <c r="B367" s="28" t="s">
        <v>218</v>
      </c>
      <c r="C367" s="29" t="s">
        <v>23</v>
      </c>
      <c r="D367" s="29" t="s">
        <v>50</v>
      </c>
      <c r="E367" s="29" t="s">
        <v>134</v>
      </c>
      <c r="F367" s="29"/>
      <c r="G367" s="29"/>
      <c r="H367" s="30"/>
      <c r="I367" s="49"/>
      <c r="J367" s="30"/>
      <c r="K367" s="14"/>
      <c r="L367" s="14"/>
      <c r="M367" s="30"/>
    </row>
    <row r="368" spans="2:13" x14ac:dyDescent="0.25">
      <c r="B368" s="28" t="s">
        <v>218</v>
      </c>
      <c r="C368" s="29" t="s">
        <v>23</v>
      </c>
      <c r="D368" s="29" t="s">
        <v>50</v>
      </c>
      <c r="E368" s="29" t="s">
        <v>164</v>
      </c>
      <c r="F368" s="29"/>
      <c r="G368" s="29"/>
      <c r="H368" s="30"/>
      <c r="I368" s="49"/>
      <c r="J368" s="30"/>
      <c r="K368" s="14"/>
      <c r="L368" s="14"/>
      <c r="M368" s="30"/>
    </row>
    <row r="369" spans="2:13" x14ac:dyDescent="0.25">
      <c r="B369" s="28" t="s">
        <v>218</v>
      </c>
      <c r="C369" s="29" t="s">
        <v>23</v>
      </c>
      <c r="D369" s="29" t="s">
        <v>50</v>
      </c>
      <c r="E369" s="29" t="s">
        <v>165</v>
      </c>
      <c r="F369" s="29"/>
      <c r="G369" s="29"/>
      <c r="H369" s="30"/>
      <c r="I369" s="49"/>
      <c r="J369" s="30"/>
      <c r="K369" s="14"/>
      <c r="L369" s="14"/>
      <c r="M369" s="30"/>
    </row>
    <row r="370" spans="2:13" x14ac:dyDescent="0.25">
      <c r="B370" s="28" t="s">
        <v>218</v>
      </c>
      <c r="C370" s="29" t="s">
        <v>23</v>
      </c>
      <c r="D370" s="29" t="s">
        <v>50</v>
      </c>
      <c r="E370" s="29" t="s">
        <v>131</v>
      </c>
      <c r="F370" s="29"/>
      <c r="G370" s="29"/>
      <c r="H370" s="30"/>
      <c r="I370" s="49"/>
      <c r="J370" s="30"/>
      <c r="K370" s="14"/>
      <c r="L370" s="14"/>
      <c r="M370" s="30"/>
    </row>
    <row r="371" spans="2:13" x14ac:dyDescent="0.25">
      <c r="B371" s="28" t="s">
        <v>218</v>
      </c>
      <c r="C371" s="29" t="s">
        <v>23</v>
      </c>
      <c r="D371" s="29" t="s">
        <v>50</v>
      </c>
      <c r="E371" s="29" t="s">
        <v>132</v>
      </c>
      <c r="F371" s="29"/>
      <c r="G371" s="29"/>
      <c r="H371" s="30"/>
      <c r="I371" s="49"/>
      <c r="J371" s="30"/>
      <c r="K371" s="14"/>
      <c r="L371" s="14"/>
      <c r="M371" s="30"/>
    </row>
    <row r="372" spans="2:13" x14ac:dyDescent="0.25">
      <c r="B372" s="28" t="s">
        <v>218</v>
      </c>
      <c r="C372" s="29" t="s">
        <v>23</v>
      </c>
      <c r="D372" s="29" t="s">
        <v>50</v>
      </c>
      <c r="E372" s="29" t="s">
        <v>122</v>
      </c>
      <c r="F372" s="29"/>
      <c r="G372" s="29"/>
      <c r="H372" s="30"/>
      <c r="I372" s="49"/>
      <c r="J372" s="30"/>
      <c r="K372" s="14"/>
      <c r="L372" s="14"/>
      <c r="M372" s="30"/>
    </row>
    <row r="373" spans="2:13" x14ac:dyDescent="0.25">
      <c r="B373" s="28" t="s">
        <v>218</v>
      </c>
      <c r="C373" s="29" t="s">
        <v>23</v>
      </c>
      <c r="D373" s="29" t="s">
        <v>50</v>
      </c>
      <c r="E373" s="29" t="s">
        <v>166</v>
      </c>
      <c r="F373" s="29"/>
      <c r="G373" s="29"/>
      <c r="H373" s="30"/>
      <c r="I373" s="49"/>
      <c r="J373" s="30"/>
      <c r="K373" s="14"/>
      <c r="L373" s="14"/>
      <c r="M373" s="30"/>
    </row>
    <row r="374" spans="2:13" x14ac:dyDescent="0.25">
      <c r="B374" s="28" t="s">
        <v>218</v>
      </c>
      <c r="C374" s="29" t="s">
        <v>23</v>
      </c>
      <c r="D374" s="29" t="s">
        <v>50</v>
      </c>
      <c r="E374" s="29" t="s">
        <v>69</v>
      </c>
      <c r="F374" s="29"/>
      <c r="G374" s="29"/>
      <c r="H374" s="30"/>
      <c r="I374" s="49"/>
      <c r="J374" s="30"/>
      <c r="K374" s="14"/>
      <c r="L374" s="14"/>
      <c r="M374" s="30"/>
    </row>
    <row r="375" spans="2:13" x14ac:dyDescent="0.25">
      <c r="B375" s="28" t="s">
        <v>218</v>
      </c>
      <c r="C375" s="29" t="s">
        <v>23</v>
      </c>
      <c r="D375" s="29" t="s">
        <v>50</v>
      </c>
      <c r="E375" s="29" t="s">
        <v>167</v>
      </c>
      <c r="F375" s="29"/>
      <c r="G375" s="29"/>
      <c r="H375" s="30"/>
      <c r="I375" s="49"/>
      <c r="J375" s="30"/>
      <c r="K375" s="14"/>
      <c r="L375" s="14"/>
      <c r="M375" s="30"/>
    </row>
    <row r="376" spans="2:13" x14ac:dyDescent="0.25">
      <c r="B376" s="28" t="s">
        <v>218</v>
      </c>
      <c r="C376" s="29" t="s">
        <v>23</v>
      </c>
      <c r="D376" s="29" t="s">
        <v>50</v>
      </c>
      <c r="E376" s="29" t="s">
        <v>168</v>
      </c>
      <c r="F376" s="29"/>
      <c r="G376" s="29"/>
      <c r="H376" s="30"/>
      <c r="I376" s="49"/>
      <c r="J376" s="30"/>
      <c r="K376" s="14"/>
      <c r="L376" s="14"/>
      <c r="M376" s="30"/>
    </row>
    <row r="377" spans="2:13" x14ac:dyDescent="0.25">
      <c r="B377" s="28" t="s">
        <v>218</v>
      </c>
      <c r="C377" s="29" t="s">
        <v>23</v>
      </c>
      <c r="D377" s="29" t="s">
        <v>50</v>
      </c>
      <c r="E377" s="29" t="s">
        <v>169</v>
      </c>
      <c r="F377" s="29"/>
      <c r="G377" s="29"/>
      <c r="H377" s="30"/>
      <c r="I377" s="49"/>
      <c r="J377" s="30"/>
      <c r="K377" s="14"/>
      <c r="L377" s="14"/>
      <c r="M377" s="30"/>
    </row>
    <row r="378" spans="2:13" x14ac:dyDescent="0.25">
      <c r="B378" s="28" t="s">
        <v>218</v>
      </c>
      <c r="C378" s="29" t="s">
        <v>23</v>
      </c>
      <c r="D378" s="29" t="s">
        <v>80</v>
      </c>
      <c r="E378" s="29" t="s">
        <v>170</v>
      </c>
      <c r="F378" s="29"/>
      <c r="G378" s="29"/>
      <c r="H378" s="30"/>
      <c r="I378" s="49"/>
      <c r="J378" s="30"/>
      <c r="K378" s="14"/>
      <c r="L378" s="14"/>
      <c r="M378" s="30"/>
    </row>
    <row r="379" spans="2:13" x14ac:dyDescent="0.25">
      <c r="B379" s="28" t="s">
        <v>218</v>
      </c>
      <c r="C379" s="29" t="s">
        <v>23</v>
      </c>
      <c r="D379" s="29" t="s">
        <v>80</v>
      </c>
      <c r="E379" s="29" t="s">
        <v>171</v>
      </c>
      <c r="F379" s="29"/>
      <c r="G379" s="29"/>
      <c r="H379" s="30"/>
      <c r="I379" s="49"/>
      <c r="J379" s="30"/>
      <c r="K379" s="14"/>
      <c r="L379" s="14"/>
      <c r="M379" s="30"/>
    </row>
    <row r="380" spans="2:13" x14ac:dyDescent="0.25">
      <c r="B380" s="28" t="s">
        <v>218</v>
      </c>
      <c r="C380" s="29" t="s">
        <v>23</v>
      </c>
      <c r="D380" s="29" t="s">
        <v>80</v>
      </c>
      <c r="E380" s="29" t="s">
        <v>172</v>
      </c>
      <c r="F380" s="29"/>
      <c r="G380" s="29"/>
      <c r="H380" s="30"/>
      <c r="I380" s="49"/>
      <c r="J380" s="30"/>
      <c r="K380" s="14"/>
      <c r="L380" s="14"/>
      <c r="M380" s="30"/>
    </row>
    <row r="381" spans="2:13" x14ac:dyDescent="0.25">
      <c r="B381" s="28" t="s">
        <v>218</v>
      </c>
      <c r="C381" s="29" t="s">
        <v>23</v>
      </c>
      <c r="D381" s="29" t="s">
        <v>80</v>
      </c>
      <c r="E381" s="29" t="s">
        <v>173</v>
      </c>
      <c r="F381" s="29"/>
      <c r="G381" s="29"/>
      <c r="H381" s="30"/>
      <c r="I381" s="49"/>
      <c r="J381" s="30"/>
      <c r="K381" s="14"/>
      <c r="L381" s="14"/>
      <c r="M381" s="30"/>
    </row>
    <row r="382" spans="2:13" x14ac:dyDescent="0.25">
      <c r="B382" s="28" t="s">
        <v>218</v>
      </c>
      <c r="C382" s="29" t="s">
        <v>23</v>
      </c>
      <c r="D382" s="29" t="s">
        <v>80</v>
      </c>
      <c r="E382" s="29" t="s">
        <v>174</v>
      </c>
      <c r="F382" s="29"/>
      <c r="G382" s="29"/>
      <c r="H382" s="30"/>
      <c r="I382" s="49"/>
      <c r="J382" s="30"/>
      <c r="K382" s="14"/>
      <c r="L382" s="14"/>
      <c r="M382" s="30"/>
    </row>
    <row r="383" spans="2:13" x14ac:dyDescent="0.25">
      <c r="B383" s="28" t="s">
        <v>218</v>
      </c>
      <c r="C383" s="29" t="s">
        <v>23</v>
      </c>
      <c r="D383" s="29" t="s">
        <v>80</v>
      </c>
      <c r="E383" s="29" t="s">
        <v>175</v>
      </c>
      <c r="F383" s="29"/>
      <c r="G383" s="29"/>
      <c r="H383" s="30"/>
      <c r="I383" s="49"/>
      <c r="J383" s="30"/>
      <c r="K383" s="14"/>
      <c r="L383" s="14"/>
      <c r="M383" s="30"/>
    </row>
    <row r="384" spans="2:13" x14ac:dyDescent="0.25">
      <c r="B384" s="28" t="s">
        <v>218</v>
      </c>
      <c r="C384" s="29" t="s">
        <v>23</v>
      </c>
      <c r="D384" s="29" t="s">
        <v>80</v>
      </c>
      <c r="E384" s="29" t="s">
        <v>140</v>
      </c>
      <c r="F384" s="29"/>
      <c r="G384" s="29"/>
      <c r="H384" s="30"/>
      <c r="I384" s="49"/>
      <c r="J384" s="30"/>
      <c r="K384" s="14"/>
      <c r="L384" s="14"/>
      <c r="M384" s="30"/>
    </row>
    <row r="385" spans="2:13" x14ac:dyDescent="0.25">
      <c r="B385" s="28" t="s">
        <v>218</v>
      </c>
      <c r="C385" s="29" t="s">
        <v>23</v>
      </c>
      <c r="D385" s="29" t="s">
        <v>80</v>
      </c>
      <c r="E385" s="29" t="s">
        <v>176</v>
      </c>
      <c r="F385" s="29"/>
      <c r="G385" s="29"/>
      <c r="H385" s="30"/>
      <c r="I385" s="49"/>
      <c r="J385" s="30"/>
      <c r="K385" s="14"/>
      <c r="L385" s="14"/>
      <c r="M385" s="30"/>
    </row>
    <row r="386" spans="2:13" x14ac:dyDescent="0.25">
      <c r="B386" s="28" t="s">
        <v>218</v>
      </c>
      <c r="C386" s="29" t="s">
        <v>23</v>
      </c>
      <c r="D386" s="29" t="s">
        <v>80</v>
      </c>
      <c r="E386" s="29" t="s">
        <v>177</v>
      </c>
      <c r="F386" s="29"/>
      <c r="G386" s="29"/>
      <c r="H386" s="30"/>
      <c r="I386" s="49"/>
      <c r="J386" s="30"/>
      <c r="K386" s="14"/>
      <c r="L386" s="14"/>
      <c r="M386" s="30"/>
    </row>
    <row r="387" spans="2:13" x14ac:dyDescent="0.25">
      <c r="B387" s="28" t="s">
        <v>218</v>
      </c>
      <c r="C387" s="29" t="s">
        <v>23</v>
      </c>
      <c r="D387" s="29" t="s">
        <v>83</v>
      </c>
      <c r="E387" s="29" t="s">
        <v>178</v>
      </c>
      <c r="F387" s="29"/>
      <c r="G387" s="29"/>
      <c r="H387" s="30"/>
      <c r="I387" s="49"/>
      <c r="J387" s="30"/>
      <c r="K387" s="14"/>
      <c r="L387" s="14"/>
      <c r="M387" s="30"/>
    </row>
    <row r="388" spans="2:13" x14ac:dyDescent="0.25">
      <c r="B388" s="28" t="s">
        <v>218</v>
      </c>
      <c r="C388" s="29" t="s">
        <v>23</v>
      </c>
      <c r="D388" s="29" t="s">
        <v>83</v>
      </c>
      <c r="E388" s="29" t="s">
        <v>179</v>
      </c>
      <c r="F388" s="29"/>
      <c r="G388" s="29"/>
      <c r="H388" s="30"/>
      <c r="I388" s="49"/>
      <c r="J388" s="30"/>
      <c r="K388" s="14"/>
      <c r="L388" s="14"/>
      <c r="M388" s="30"/>
    </row>
    <row r="389" spans="2:13" x14ac:dyDescent="0.25">
      <c r="B389" s="28" t="s">
        <v>218</v>
      </c>
      <c r="C389" s="29" t="s">
        <v>23</v>
      </c>
      <c r="D389" s="29" t="s">
        <v>83</v>
      </c>
      <c r="E389" s="29" t="s">
        <v>180</v>
      </c>
      <c r="F389" s="29"/>
      <c r="G389" s="29"/>
      <c r="H389" s="30"/>
      <c r="I389" s="49"/>
      <c r="J389" s="30"/>
      <c r="K389" s="14"/>
      <c r="L389" s="14"/>
      <c r="M389" s="30"/>
    </row>
    <row r="390" spans="2:13" x14ac:dyDescent="0.25">
      <c r="B390" s="28" t="s">
        <v>218</v>
      </c>
      <c r="C390" s="29" t="s">
        <v>23</v>
      </c>
      <c r="D390" s="29" t="s">
        <v>83</v>
      </c>
      <c r="E390" s="29" t="s">
        <v>181</v>
      </c>
      <c r="F390" s="29"/>
      <c r="G390" s="29"/>
      <c r="H390" s="30"/>
      <c r="I390" s="49"/>
      <c r="J390" s="30"/>
      <c r="K390" s="14"/>
      <c r="L390" s="14"/>
      <c r="M390" s="30"/>
    </row>
    <row r="391" spans="2:13" x14ac:dyDescent="0.25">
      <c r="B391" s="28" t="s">
        <v>218</v>
      </c>
      <c r="C391" s="29" t="s">
        <v>23</v>
      </c>
      <c r="D391" s="29" t="s">
        <v>91</v>
      </c>
      <c r="E391" s="29" t="s">
        <v>182</v>
      </c>
      <c r="F391" s="29"/>
      <c r="G391" s="29"/>
      <c r="H391" s="30"/>
      <c r="I391" s="49"/>
      <c r="J391" s="30"/>
      <c r="K391" s="14"/>
      <c r="L391" s="14"/>
      <c r="M391" s="30"/>
    </row>
    <row r="392" spans="2:13" x14ac:dyDescent="0.25">
      <c r="B392" s="28" t="s">
        <v>218</v>
      </c>
      <c r="C392" s="29" t="s">
        <v>23</v>
      </c>
      <c r="D392" s="29" t="s">
        <v>91</v>
      </c>
      <c r="E392" s="29" t="s">
        <v>183</v>
      </c>
      <c r="F392" s="29"/>
      <c r="G392" s="29"/>
      <c r="H392" s="30"/>
      <c r="I392" s="49"/>
      <c r="J392" s="30"/>
      <c r="K392" s="14"/>
      <c r="L392" s="14"/>
      <c r="M392" s="30"/>
    </row>
    <row r="393" spans="2:13" x14ac:dyDescent="0.25">
      <c r="B393" s="28" t="s">
        <v>218</v>
      </c>
      <c r="C393" s="29" t="s">
        <v>23</v>
      </c>
      <c r="D393" s="29" t="s">
        <v>91</v>
      </c>
      <c r="E393" s="29" t="s">
        <v>184</v>
      </c>
      <c r="F393" s="29"/>
      <c r="G393" s="29"/>
      <c r="H393" s="30"/>
      <c r="I393" s="49"/>
      <c r="J393" s="30"/>
      <c r="K393" s="14"/>
      <c r="L393" s="14"/>
      <c r="M393" s="30"/>
    </row>
    <row r="394" spans="2:13" x14ac:dyDescent="0.25">
      <c r="B394" s="28" t="s">
        <v>218</v>
      </c>
      <c r="C394" s="29" t="s">
        <v>23</v>
      </c>
      <c r="D394" s="29" t="s">
        <v>93</v>
      </c>
      <c r="E394" s="29" t="s">
        <v>185</v>
      </c>
      <c r="F394" s="29"/>
      <c r="G394" s="29"/>
      <c r="H394" s="30"/>
      <c r="I394" s="49"/>
      <c r="J394" s="30"/>
      <c r="K394" s="14"/>
      <c r="L394" s="14"/>
      <c r="M394" s="30"/>
    </row>
    <row r="395" spans="2:13" x14ac:dyDescent="0.25">
      <c r="B395" s="28" t="s">
        <v>218</v>
      </c>
      <c r="C395" s="29" t="s">
        <v>23</v>
      </c>
      <c r="D395" s="29" t="s">
        <v>93</v>
      </c>
      <c r="E395" s="29" t="s">
        <v>186</v>
      </c>
      <c r="F395" s="29"/>
      <c r="G395" s="29"/>
      <c r="H395" s="30"/>
      <c r="I395" s="49"/>
      <c r="J395" s="30"/>
      <c r="K395" s="14"/>
      <c r="L395" s="14"/>
      <c r="M395" s="30"/>
    </row>
    <row r="396" spans="2:13" x14ac:dyDescent="0.25">
      <c r="B396" s="28" t="s">
        <v>218</v>
      </c>
      <c r="C396" s="29" t="s">
        <v>23</v>
      </c>
      <c r="D396" s="29" t="s">
        <v>95</v>
      </c>
      <c r="E396" s="29" t="s">
        <v>187</v>
      </c>
      <c r="F396" s="29"/>
      <c r="G396" s="29"/>
      <c r="H396" s="30"/>
      <c r="I396" s="49"/>
      <c r="J396" s="30"/>
      <c r="K396" s="14"/>
      <c r="L396" s="14"/>
      <c r="M396" s="30"/>
    </row>
    <row r="397" spans="2:13" x14ac:dyDescent="0.25">
      <c r="B397" s="28" t="s">
        <v>218</v>
      </c>
      <c r="C397" s="29" t="s">
        <v>23</v>
      </c>
      <c r="D397" s="29" t="s">
        <v>95</v>
      </c>
      <c r="E397" s="29" t="s">
        <v>188</v>
      </c>
      <c r="F397" s="29"/>
      <c r="G397" s="29"/>
      <c r="H397" s="30"/>
      <c r="I397" s="49"/>
      <c r="J397" s="30"/>
      <c r="K397" s="14"/>
      <c r="L397" s="14"/>
      <c r="M397" s="30"/>
    </row>
    <row r="398" spans="2:13" x14ac:dyDescent="0.25">
      <c r="B398" s="28" t="s">
        <v>218</v>
      </c>
      <c r="C398" s="29" t="s">
        <v>23</v>
      </c>
      <c r="D398" s="29" t="s">
        <v>97</v>
      </c>
      <c r="E398" s="29" t="s">
        <v>189</v>
      </c>
      <c r="F398" s="29"/>
      <c r="G398" s="29"/>
      <c r="H398" s="30"/>
      <c r="I398" s="49"/>
      <c r="J398" s="30"/>
      <c r="K398" s="14"/>
      <c r="L398" s="14"/>
      <c r="M398" s="30"/>
    </row>
    <row r="399" spans="2:13" x14ac:dyDescent="0.25">
      <c r="B399" s="28" t="s">
        <v>218</v>
      </c>
      <c r="C399" s="29" t="s">
        <v>23</v>
      </c>
      <c r="D399" s="29" t="s">
        <v>97</v>
      </c>
      <c r="E399" s="29" t="s">
        <v>99</v>
      </c>
      <c r="F399" s="29"/>
      <c r="G399" s="29"/>
      <c r="H399" s="30"/>
      <c r="I399" s="49"/>
      <c r="J399" s="30"/>
      <c r="K399" s="14"/>
      <c r="L399" s="14"/>
      <c r="M399" s="30"/>
    </row>
    <row r="400" spans="2:13" x14ac:dyDescent="0.25">
      <c r="B400" s="28" t="s">
        <v>218</v>
      </c>
      <c r="C400" s="29" t="s">
        <v>23</v>
      </c>
      <c r="D400" s="29" t="s">
        <v>97</v>
      </c>
      <c r="E400" s="29" t="s">
        <v>190</v>
      </c>
      <c r="F400" s="29"/>
      <c r="G400" s="29"/>
      <c r="H400" s="30"/>
      <c r="I400" s="49"/>
      <c r="J400" s="30"/>
      <c r="K400" s="14"/>
      <c r="L400" s="14"/>
      <c r="M400" s="30"/>
    </row>
    <row r="401" spans="2:13" x14ac:dyDescent="0.25">
      <c r="B401" s="28" t="s">
        <v>218</v>
      </c>
      <c r="C401" s="29" t="s">
        <v>23</v>
      </c>
      <c r="D401" s="29" t="s">
        <v>97</v>
      </c>
      <c r="E401" s="29" t="s">
        <v>191</v>
      </c>
      <c r="F401" s="29"/>
      <c r="G401" s="29"/>
      <c r="H401" s="30"/>
      <c r="I401" s="49"/>
      <c r="J401" s="30"/>
      <c r="K401" s="14"/>
      <c r="L401" s="14"/>
      <c r="M401" s="30"/>
    </row>
    <row r="402" spans="2:13" x14ac:dyDescent="0.25">
      <c r="B402" s="28" t="s">
        <v>218</v>
      </c>
      <c r="C402" s="29" t="s">
        <v>23</v>
      </c>
      <c r="D402" s="29" t="s">
        <v>97</v>
      </c>
      <c r="E402" s="29" t="s">
        <v>192</v>
      </c>
      <c r="F402" s="29"/>
      <c r="G402" s="29"/>
      <c r="H402" s="30"/>
      <c r="I402" s="49"/>
      <c r="J402" s="30"/>
      <c r="K402" s="14"/>
      <c r="L402" s="14"/>
      <c r="M402" s="30"/>
    </row>
    <row r="403" spans="2:13" x14ac:dyDescent="0.25">
      <c r="B403" s="28" t="s">
        <v>218</v>
      </c>
      <c r="C403" s="29" t="s">
        <v>23</v>
      </c>
      <c r="D403" s="29" t="s">
        <v>97</v>
      </c>
      <c r="E403" s="29" t="s">
        <v>193</v>
      </c>
      <c r="F403" s="29"/>
      <c r="G403" s="29"/>
      <c r="H403" s="30"/>
      <c r="I403" s="49"/>
      <c r="J403" s="30"/>
      <c r="K403" s="14"/>
      <c r="L403" s="14"/>
      <c r="M403" s="30"/>
    </row>
    <row r="404" spans="2:13" x14ac:dyDescent="0.25">
      <c r="B404" s="28" t="s">
        <v>218</v>
      </c>
      <c r="C404" s="29" t="s">
        <v>23</v>
      </c>
      <c r="D404" s="29" t="s">
        <v>97</v>
      </c>
      <c r="E404" s="29" t="s">
        <v>150</v>
      </c>
      <c r="F404" s="29"/>
      <c r="G404" s="29"/>
      <c r="H404" s="30"/>
      <c r="I404" s="49"/>
      <c r="J404" s="30"/>
      <c r="K404" s="14"/>
      <c r="L404" s="14"/>
      <c r="M404" s="30"/>
    </row>
    <row r="405" spans="2:13" x14ac:dyDescent="0.25">
      <c r="B405" s="28" t="s">
        <v>218</v>
      </c>
      <c r="C405" s="29" t="s">
        <v>23</v>
      </c>
      <c r="D405" s="29" t="s">
        <v>97</v>
      </c>
      <c r="E405" s="29" t="s">
        <v>152</v>
      </c>
      <c r="F405" s="29"/>
      <c r="G405" s="29"/>
      <c r="H405" s="30"/>
      <c r="I405" s="49"/>
      <c r="J405" s="30"/>
      <c r="K405" s="14"/>
      <c r="L405" s="14"/>
      <c r="M405" s="30"/>
    </row>
    <row r="406" spans="2:13" x14ac:dyDescent="0.25">
      <c r="B406" s="28" t="s">
        <v>218</v>
      </c>
      <c r="C406" s="29" t="s">
        <v>23</v>
      </c>
      <c r="D406" s="29" t="s">
        <v>97</v>
      </c>
      <c r="E406" s="29" t="s">
        <v>194</v>
      </c>
      <c r="F406" s="29"/>
      <c r="G406" s="29"/>
      <c r="H406" s="30"/>
      <c r="I406" s="49"/>
      <c r="J406" s="30"/>
      <c r="K406" s="14"/>
      <c r="L406" s="14"/>
      <c r="M406" s="30"/>
    </row>
    <row r="407" spans="2:13" x14ac:dyDescent="0.25">
      <c r="B407" s="28" t="s">
        <v>218</v>
      </c>
      <c r="C407" s="29" t="s">
        <v>23</v>
      </c>
      <c r="D407" s="29" t="s">
        <v>97</v>
      </c>
      <c r="E407" s="29" t="s">
        <v>195</v>
      </c>
      <c r="F407" s="29"/>
      <c r="G407" s="29"/>
      <c r="H407" s="30"/>
      <c r="I407" s="49"/>
      <c r="J407" s="30"/>
      <c r="K407" s="14"/>
      <c r="L407" s="14"/>
      <c r="M407" s="30"/>
    </row>
    <row r="408" spans="2:13" x14ac:dyDescent="0.25">
      <c r="B408" s="28" t="s">
        <v>218</v>
      </c>
      <c r="C408" s="29" t="s">
        <v>23</v>
      </c>
      <c r="D408" s="29" t="s">
        <v>97</v>
      </c>
      <c r="E408" s="29" t="s">
        <v>196</v>
      </c>
      <c r="F408" s="29"/>
      <c r="G408" s="29"/>
      <c r="H408" s="30"/>
      <c r="I408" s="49"/>
      <c r="J408" s="30"/>
      <c r="K408" s="14"/>
      <c r="L408" s="14"/>
      <c r="M408" s="30"/>
    </row>
    <row r="409" spans="2:13" x14ac:dyDescent="0.25">
      <c r="B409" s="28" t="s">
        <v>218</v>
      </c>
      <c r="C409" s="29" t="s">
        <v>23</v>
      </c>
      <c r="D409" s="29" t="s">
        <v>97</v>
      </c>
      <c r="E409" s="29" t="s">
        <v>197</v>
      </c>
      <c r="F409" s="29"/>
      <c r="G409" s="29"/>
      <c r="H409" s="30"/>
      <c r="I409" s="49"/>
      <c r="J409" s="30"/>
      <c r="K409" s="14"/>
      <c r="L409" s="14"/>
      <c r="M409" s="30"/>
    </row>
    <row r="410" spans="2:13" x14ac:dyDescent="0.25">
      <c r="B410" s="28" t="s">
        <v>218</v>
      </c>
      <c r="C410" s="29" t="s">
        <v>23</v>
      </c>
      <c r="D410" s="29" t="s">
        <v>97</v>
      </c>
      <c r="E410" s="29" t="s">
        <v>198</v>
      </c>
      <c r="F410" s="29"/>
      <c r="G410" s="29"/>
      <c r="H410" s="30"/>
      <c r="I410" s="49"/>
      <c r="J410" s="30"/>
      <c r="K410" s="14"/>
      <c r="L410" s="14"/>
      <c r="M410" s="30"/>
    </row>
    <row r="411" spans="2:13" x14ac:dyDescent="0.25">
      <c r="B411" s="28" t="s">
        <v>218</v>
      </c>
      <c r="C411" s="29" t="s">
        <v>23</v>
      </c>
      <c r="D411" s="29" t="s">
        <v>97</v>
      </c>
      <c r="E411" s="29" t="s">
        <v>199</v>
      </c>
      <c r="F411" s="29"/>
      <c r="G411" s="29"/>
      <c r="H411" s="30"/>
      <c r="I411" s="49"/>
      <c r="J411" s="30"/>
      <c r="K411" s="14"/>
      <c r="L411" s="14"/>
      <c r="M411" s="30"/>
    </row>
    <row r="412" spans="2:13" x14ac:dyDescent="0.25">
      <c r="B412" s="28" t="s">
        <v>218</v>
      </c>
      <c r="C412" s="29" t="s">
        <v>23</v>
      </c>
      <c r="D412" s="29" t="s">
        <v>97</v>
      </c>
      <c r="E412" s="29" t="s">
        <v>200</v>
      </c>
      <c r="F412" s="29"/>
      <c r="G412" s="29"/>
      <c r="H412" s="30"/>
      <c r="I412" s="49"/>
      <c r="J412" s="30"/>
      <c r="K412" s="14"/>
      <c r="L412" s="14"/>
      <c r="M412" s="30"/>
    </row>
    <row r="413" spans="2:13" x14ac:dyDescent="0.25">
      <c r="B413" s="28" t="s">
        <v>218</v>
      </c>
      <c r="C413" s="29" t="s">
        <v>23</v>
      </c>
      <c r="D413" s="29" t="s">
        <v>97</v>
      </c>
      <c r="E413" s="29" t="s">
        <v>201</v>
      </c>
      <c r="F413" s="29"/>
      <c r="G413" s="29"/>
      <c r="H413" s="30"/>
      <c r="I413" s="49"/>
      <c r="J413" s="30"/>
      <c r="K413" s="14"/>
      <c r="L413" s="14"/>
      <c r="M413" s="30"/>
    </row>
    <row r="414" spans="2:13" x14ac:dyDescent="0.25">
      <c r="B414" s="28" t="s">
        <v>218</v>
      </c>
      <c r="C414" s="29" t="s">
        <v>23</v>
      </c>
      <c r="D414" s="29" t="s">
        <v>97</v>
      </c>
      <c r="E414" s="29" t="s">
        <v>202</v>
      </c>
      <c r="F414" s="29"/>
      <c r="G414" s="29"/>
      <c r="H414" s="30"/>
      <c r="I414" s="49"/>
      <c r="J414" s="30"/>
      <c r="K414" s="14"/>
      <c r="L414" s="14"/>
      <c r="M414" s="30"/>
    </row>
    <row r="415" spans="2:13" x14ac:dyDescent="0.25">
      <c r="B415" s="28" t="s">
        <v>218</v>
      </c>
      <c r="C415" s="29" t="s">
        <v>23</v>
      </c>
      <c r="D415" s="29" t="s">
        <v>97</v>
      </c>
      <c r="E415" s="29" t="s">
        <v>203</v>
      </c>
      <c r="F415" s="29"/>
      <c r="G415" s="29"/>
      <c r="H415" s="30"/>
      <c r="I415" s="49"/>
      <c r="J415" s="30"/>
      <c r="K415" s="14"/>
      <c r="L415" s="14"/>
      <c r="M415" s="30"/>
    </row>
    <row r="416" spans="2:13" x14ac:dyDescent="0.25">
      <c r="B416" s="28" t="s">
        <v>218</v>
      </c>
      <c r="C416" s="29" t="s">
        <v>23</v>
      </c>
      <c r="D416" s="29" t="s">
        <v>115</v>
      </c>
      <c r="E416" s="29" t="s">
        <v>204</v>
      </c>
      <c r="F416" s="29"/>
      <c r="G416" s="29"/>
      <c r="H416" s="30"/>
      <c r="I416" s="49"/>
      <c r="J416" s="30"/>
      <c r="K416" s="14"/>
      <c r="L416" s="14"/>
      <c r="M416" s="30"/>
    </row>
    <row r="417" spans="2:13" x14ac:dyDescent="0.25">
      <c r="B417" s="28" t="s">
        <v>218</v>
      </c>
      <c r="C417" s="29" t="s">
        <v>23</v>
      </c>
      <c r="D417" s="29" t="s">
        <v>115</v>
      </c>
      <c r="E417" s="29" t="s">
        <v>205</v>
      </c>
      <c r="F417" s="29"/>
      <c r="G417" s="29"/>
      <c r="H417" s="30"/>
      <c r="I417" s="49"/>
      <c r="J417" s="30"/>
      <c r="K417" s="14"/>
      <c r="L417" s="14"/>
      <c r="M417" s="30"/>
    </row>
  </sheetData>
  <autoFilter ref="B2:M446" xr:uid="{A1D1D131-240E-4AD8-A072-95E4C4861A2A}"/>
  <mergeCells count="1">
    <mergeCell ref="B1:M1"/>
  </mergeCells>
  <conditionalFormatting sqref="J1:J1048576">
    <cfRule type="containsText" dxfId="5" priority="1" operator="containsText" text="En revisión">
      <formula>NOT(ISERROR(SEARCH("En revisión",J1)))</formula>
    </cfRule>
    <cfRule type="containsText" dxfId="4" priority="2" operator="containsText" text="Rechazado">
      <formula>NOT(ISERROR(SEARCH("Rechazado",J1)))</formula>
    </cfRule>
  </conditionalFormatting>
  <dataValidations count="2">
    <dataValidation type="list" allowBlank="1" showInputMessage="1" showErrorMessage="1" sqref="J209 J290 J339" xr:uid="{C6B2DB88-06D7-4BA9-926B-1350123CFBD9}">
      <formula1>"Entregado, Atención de comentarios, Aprobado, Devuelto para correción"</formula1>
    </dataValidation>
    <dataValidation type="list" allowBlank="1" showInputMessage="1" showErrorMessage="1" sqref="J291:J338 J210:J289 J340:J417 J3:J208" xr:uid="{3007E9EB-1E7C-456D-AD5C-3D22D248AE77}">
      <formula1>"En revisión, Atención de comentarios, Aprobado, En proceso, Rechazado"</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41A1B-9936-4D20-B2B0-4A4939FE8595}">
  <sheetPr codeName="Hoja7"/>
  <dimension ref="A1:K31"/>
  <sheetViews>
    <sheetView topLeftCell="A4" workbookViewId="0">
      <selection activeCell="F31" sqref="F31"/>
    </sheetView>
  </sheetViews>
  <sheetFormatPr baseColWidth="10" defaultColWidth="11.42578125" defaultRowHeight="15" x14ac:dyDescent="0.25"/>
  <cols>
    <col min="1" max="1" width="28.42578125" customWidth="1"/>
    <col min="2" max="2" width="19.140625" customWidth="1"/>
    <col min="3" max="3" width="11.5703125" style="4"/>
    <col min="4" max="4" width="54.5703125" bestFit="1" customWidth="1"/>
    <col min="5" max="5" width="13.7109375" customWidth="1"/>
    <col min="6" max="6" width="14.85546875" bestFit="1" customWidth="1"/>
    <col min="10" max="10" width="14.5703125" bestFit="1" customWidth="1"/>
    <col min="11" max="11" width="30.5703125" customWidth="1"/>
  </cols>
  <sheetData>
    <row r="1" spans="1:11" x14ac:dyDescent="0.25">
      <c r="A1" s="78" t="s">
        <v>0</v>
      </c>
      <c r="B1" s="79"/>
      <c r="C1" s="79"/>
      <c r="D1" s="79"/>
      <c r="E1" s="79"/>
      <c r="F1" s="79"/>
      <c r="G1" s="79"/>
      <c r="H1" s="79"/>
      <c r="I1" s="79"/>
      <c r="J1" s="79"/>
      <c r="K1" s="80"/>
    </row>
    <row r="2" spans="1:11" x14ac:dyDescent="0.25">
      <c r="A2" s="27" t="s">
        <v>1</v>
      </c>
      <c r="B2" s="27" t="s">
        <v>2</v>
      </c>
      <c r="C2" s="27" t="s">
        <v>3</v>
      </c>
      <c r="D2" s="27" t="s">
        <v>4</v>
      </c>
      <c r="E2" s="27" t="s">
        <v>5</v>
      </c>
      <c r="F2" s="27" t="s">
        <v>6</v>
      </c>
      <c r="G2" s="48" t="s">
        <v>8</v>
      </c>
      <c r="H2" s="27" t="s">
        <v>9</v>
      </c>
      <c r="I2" s="27" t="s">
        <v>10</v>
      </c>
      <c r="J2" s="27" t="s">
        <v>11</v>
      </c>
      <c r="K2" s="27" t="s">
        <v>12</v>
      </c>
    </row>
    <row r="3" spans="1:11" x14ac:dyDescent="0.25">
      <c r="A3" s="13" t="s">
        <v>220</v>
      </c>
      <c r="B3" s="29" t="s">
        <v>23</v>
      </c>
      <c r="C3" s="27" t="s">
        <v>221</v>
      </c>
      <c r="D3" s="29" t="s">
        <v>222</v>
      </c>
      <c r="E3" s="13" t="s">
        <v>208</v>
      </c>
      <c r="F3" s="13" t="s">
        <v>209</v>
      </c>
      <c r="G3" s="66">
        <v>0.3</v>
      </c>
      <c r="H3" s="30"/>
      <c r="I3" s="13"/>
      <c r="J3" s="13"/>
      <c r="K3" s="13"/>
    </row>
    <row r="4" spans="1:11" x14ac:dyDescent="0.25">
      <c r="A4" s="13" t="s">
        <v>220</v>
      </c>
      <c r="B4" s="29" t="s">
        <v>23</v>
      </c>
      <c r="C4" s="14" t="s">
        <v>223</v>
      </c>
      <c r="D4" s="29" t="s">
        <v>175</v>
      </c>
      <c r="E4" s="13" t="s">
        <v>209</v>
      </c>
      <c r="F4" s="13" t="s">
        <v>208</v>
      </c>
      <c r="G4" s="66">
        <v>0.1</v>
      </c>
      <c r="H4" s="30" t="s">
        <v>156</v>
      </c>
      <c r="I4" s="13"/>
      <c r="J4" s="13"/>
      <c r="K4" s="13"/>
    </row>
    <row r="5" spans="1:11" x14ac:dyDescent="0.25">
      <c r="A5" s="13" t="s">
        <v>220</v>
      </c>
      <c r="B5" s="29" t="s">
        <v>23</v>
      </c>
      <c r="C5" s="14" t="s">
        <v>223</v>
      </c>
      <c r="D5" s="29" t="s">
        <v>224</v>
      </c>
      <c r="E5" s="13" t="s">
        <v>225</v>
      </c>
      <c r="F5" s="13" t="s">
        <v>208</v>
      </c>
      <c r="G5" s="66">
        <v>0.3</v>
      </c>
      <c r="H5" s="30" t="s">
        <v>156</v>
      </c>
      <c r="I5" s="13"/>
      <c r="J5" s="13"/>
      <c r="K5" s="13"/>
    </row>
    <row r="6" spans="1:11" x14ac:dyDescent="0.25">
      <c r="A6" s="13" t="s">
        <v>220</v>
      </c>
      <c r="B6" s="29" t="s">
        <v>23</v>
      </c>
      <c r="C6" s="14" t="s">
        <v>223</v>
      </c>
      <c r="D6" s="29" t="s">
        <v>226</v>
      </c>
      <c r="E6" s="13" t="s">
        <v>210</v>
      </c>
      <c r="F6" s="13" t="s">
        <v>209</v>
      </c>
      <c r="G6" s="66">
        <v>0.1</v>
      </c>
      <c r="H6" s="30" t="s">
        <v>156</v>
      </c>
      <c r="I6" s="13"/>
      <c r="J6" s="13"/>
      <c r="K6" s="13"/>
    </row>
    <row r="7" spans="1:11" x14ac:dyDescent="0.25">
      <c r="A7" s="13" t="s">
        <v>220</v>
      </c>
      <c r="B7" s="29" t="s">
        <v>23</v>
      </c>
      <c r="C7" s="14" t="s">
        <v>223</v>
      </c>
      <c r="D7" s="29" t="s">
        <v>172</v>
      </c>
      <c r="E7" s="13" t="s">
        <v>210</v>
      </c>
      <c r="F7" s="13" t="s">
        <v>209</v>
      </c>
      <c r="G7" s="66">
        <v>0</v>
      </c>
      <c r="H7" s="30"/>
      <c r="I7" s="13"/>
      <c r="J7" s="13"/>
      <c r="K7" s="13"/>
    </row>
    <row r="8" spans="1:11" x14ac:dyDescent="0.25">
      <c r="A8" s="13" t="s">
        <v>220</v>
      </c>
      <c r="B8" s="29" t="s">
        <v>23</v>
      </c>
      <c r="C8" s="14" t="s">
        <v>223</v>
      </c>
      <c r="D8" s="29" t="s">
        <v>227</v>
      </c>
      <c r="E8" s="13" t="s">
        <v>208</v>
      </c>
      <c r="F8" s="13" t="s">
        <v>209</v>
      </c>
      <c r="G8" s="66">
        <v>0.2</v>
      </c>
      <c r="H8" s="30"/>
      <c r="I8" s="13"/>
      <c r="J8" s="13"/>
      <c r="K8" s="13"/>
    </row>
    <row r="9" spans="1:11" x14ac:dyDescent="0.25">
      <c r="A9" s="13" t="s">
        <v>220</v>
      </c>
      <c r="B9" s="29" t="s">
        <v>23</v>
      </c>
      <c r="C9" s="14" t="s">
        <v>228</v>
      </c>
      <c r="D9" s="29" t="s">
        <v>229</v>
      </c>
      <c r="E9" s="13"/>
      <c r="F9" s="13"/>
      <c r="G9" s="13"/>
      <c r="H9" s="30"/>
      <c r="I9" s="13"/>
      <c r="J9" s="13"/>
      <c r="K9" s="13"/>
    </row>
    <row r="10" spans="1:11" x14ac:dyDescent="0.25">
      <c r="A10" s="13" t="s">
        <v>220</v>
      </c>
      <c r="B10" s="29" t="s">
        <v>23</v>
      </c>
      <c r="C10" s="14" t="s">
        <v>228</v>
      </c>
      <c r="D10" s="29" t="s">
        <v>230</v>
      </c>
      <c r="E10" s="13"/>
      <c r="F10" s="13"/>
      <c r="G10" s="13"/>
      <c r="H10" s="30"/>
      <c r="I10" s="13"/>
      <c r="J10" s="13"/>
      <c r="K10" s="13"/>
    </row>
    <row r="11" spans="1:11" x14ac:dyDescent="0.25">
      <c r="A11" s="13" t="s">
        <v>220</v>
      </c>
      <c r="B11" s="29" t="s">
        <v>23</v>
      </c>
      <c r="C11" s="14" t="s">
        <v>231</v>
      </c>
      <c r="D11" s="29" t="s">
        <v>232</v>
      </c>
      <c r="E11" s="13"/>
      <c r="F11" s="13"/>
      <c r="G11" s="13"/>
      <c r="H11" s="30"/>
      <c r="I11" s="13"/>
      <c r="J11" s="13"/>
      <c r="K11" s="13"/>
    </row>
    <row r="12" spans="1:11" x14ac:dyDescent="0.25">
      <c r="A12" s="13" t="s">
        <v>220</v>
      </c>
      <c r="B12" s="29" t="s">
        <v>23</v>
      </c>
      <c r="C12" s="14" t="s">
        <v>223</v>
      </c>
      <c r="D12" s="29" t="s">
        <v>233</v>
      </c>
      <c r="E12" s="13" t="s">
        <v>225</v>
      </c>
      <c r="F12" s="13" t="s">
        <v>208</v>
      </c>
      <c r="G12" s="66">
        <v>0.4</v>
      </c>
      <c r="H12" s="30" t="s">
        <v>156</v>
      </c>
      <c r="I12" s="13"/>
      <c r="J12" s="13"/>
      <c r="K12" s="13"/>
    </row>
    <row r="13" spans="1:11" x14ac:dyDescent="0.25">
      <c r="A13" s="13" t="s">
        <v>220</v>
      </c>
      <c r="B13" s="29" t="s">
        <v>23</v>
      </c>
      <c r="C13" s="14" t="s">
        <v>223</v>
      </c>
      <c r="D13" s="29" t="s">
        <v>234</v>
      </c>
      <c r="E13" s="13" t="s">
        <v>210</v>
      </c>
      <c r="F13" s="13" t="s">
        <v>208</v>
      </c>
      <c r="G13" s="66">
        <v>0.2</v>
      </c>
      <c r="H13" s="30" t="s">
        <v>156</v>
      </c>
      <c r="I13" s="13"/>
      <c r="J13" s="13"/>
      <c r="K13" s="13"/>
    </row>
    <row r="14" spans="1:11" x14ac:dyDescent="0.25">
      <c r="A14" s="13" t="s">
        <v>220</v>
      </c>
      <c r="B14" s="29" t="s">
        <v>23</v>
      </c>
      <c r="C14" s="14" t="s">
        <v>223</v>
      </c>
      <c r="D14" s="29" t="s">
        <v>235</v>
      </c>
      <c r="E14" s="13" t="s">
        <v>210</v>
      </c>
      <c r="F14" s="13" t="s">
        <v>209</v>
      </c>
      <c r="G14" s="66">
        <v>0.1</v>
      </c>
      <c r="H14" s="30"/>
      <c r="I14" s="13"/>
      <c r="J14" s="13"/>
      <c r="K14" s="13"/>
    </row>
    <row r="15" spans="1:11" x14ac:dyDescent="0.25">
      <c r="A15" s="13" t="s">
        <v>220</v>
      </c>
      <c r="B15" s="29" t="s">
        <v>23</v>
      </c>
      <c r="C15" s="14" t="s">
        <v>231</v>
      </c>
      <c r="D15" s="29" t="s">
        <v>236</v>
      </c>
      <c r="E15" s="13"/>
      <c r="F15" s="13"/>
      <c r="G15" s="13"/>
      <c r="H15" s="30"/>
      <c r="I15" s="13"/>
      <c r="J15" s="13"/>
      <c r="K15" s="13"/>
    </row>
    <row r="16" spans="1:11" x14ac:dyDescent="0.25">
      <c r="A16" s="13" t="s">
        <v>220</v>
      </c>
      <c r="B16" s="29" t="s">
        <v>23</v>
      </c>
      <c r="C16" s="14" t="s">
        <v>228</v>
      </c>
      <c r="D16" s="29" t="s">
        <v>237</v>
      </c>
      <c r="E16" s="13"/>
      <c r="F16" s="13"/>
      <c r="G16" s="13"/>
      <c r="H16" s="30"/>
      <c r="I16" s="13"/>
      <c r="J16" s="13"/>
      <c r="K16" s="13"/>
    </row>
    <row r="17" spans="1:11" x14ac:dyDescent="0.25">
      <c r="A17" s="13" t="s">
        <v>220</v>
      </c>
      <c r="B17" s="29" t="s">
        <v>23</v>
      </c>
      <c r="C17" s="14" t="s">
        <v>228</v>
      </c>
      <c r="D17" s="29" t="s">
        <v>196</v>
      </c>
      <c r="E17" s="13"/>
      <c r="F17" s="13"/>
      <c r="G17" s="13"/>
      <c r="H17" s="30"/>
      <c r="I17" s="13"/>
      <c r="J17" s="13"/>
      <c r="K17" s="13"/>
    </row>
    <row r="18" spans="1:11" x14ac:dyDescent="0.25">
      <c r="A18" s="13" t="s">
        <v>220</v>
      </c>
      <c r="B18" s="29" t="s">
        <v>23</v>
      </c>
      <c r="C18" s="14" t="s">
        <v>223</v>
      </c>
      <c r="D18" s="29" t="s">
        <v>197</v>
      </c>
      <c r="E18" s="13" t="s">
        <v>238</v>
      </c>
      <c r="F18" s="13" t="s">
        <v>239</v>
      </c>
      <c r="G18" s="66">
        <v>0</v>
      </c>
      <c r="H18" s="30"/>
      <c r="I18" s="13"/>
      <c r="J18" s="13"/>
      <c r="K18" s="13"/>
    </row>
    <row r="19" spans="1:11" x14ac:dyDescent="0.25">
      <c r="A19" s="13" t="s">
        <v>220</v>
      </c>
      <c r="B19" s="29" t="s">
        <v>23</v>
      </c>
      <c r="C19" s="14" t="s">
        <v>223</v>
      </c>
      <c r="D19" s="29" t="s">
        <v>240</v>
      </c>
      <c r="E19" s="13" t="s">
        <v>211</v>
      </c>
      <c r="F19" s="13" t="s">
        <v>209</v>
      </c>
      <c r="G19" s="66">
        <v>0</v>
      </c>
      <c r="H19" s="30"/>
      <c r="I19" s="13"/>
      <c r="J19" s="13"/>
      <c r="K19" s="13"/>
    </row>
    <row r="20" spans="1:11" x14ac:dyDescent="0.25">
      <c r="A20" s="13" t="s">
        <v>220</v>
      </c>
      <c r="B20" s="29" t="s">
        <v>23</v>
      </c>
      <c r="C20" s="14" t="s">
        <v>223</v>
      </c>
      <c r="D20" s="29" t="s">
        <v>200</v>
      </c>
      <c r="E20" s="13" t="s">
        <v>211</v>
      </c>
      <c r="F20" s="13" t="s">
        <v>208</v>
      </c>
      <c r="G20" s="66">
        <v>0.4</v>
      </c>
      <c r="H20" s="30" t="s">
        <v>156</v>
      </c>
      <c r="I20" s="13"/>
      <c r="J20" s="13"/>
      <c r="K20" s="13"/>
    </row>
    <row r="21" spans="1:11" x14ac:dyDescent="0.25">
      <c r="A21" s="13" t="s">
        <v>220</v>
      </c>
      <c r="B21" s="29" t="s">
        <v>23</v>
      </c>
      <c r="C21" s="14" t="s">
        <v>223</v>
      </c>
      <c r="D21" s="29" t="s">
        <v>241</v>
      </c>
      <c r="E21" s="13" t="s">
        <v>211</v>
      </c>
      <c r="F21" s="13" t="s">
        <v>208</v>
      </c>
      <c r="G21" s="66">
        <v>0.2</v>
      </c>
      <c r="H21" s="30"/>
      <c r="I21" s="13"/>
      <c r="J21" s="13"/>
      <c r="K21" s="13"/>
    </row>
    <row r="22" spans="1:11" x14ac:dyDescent="0.25">
      <c r="A22" s="13" t="s">
        <v>220</v>
      </c>
      <c r="B22" s="29" t="s">
        <v>23</v>
      </c>
      <c r="C22" s="14" t="s">
        <v>223</v>
      </c>
      <c r="D22" s="29" t="s">
        <v>242</v>
      </c>
      <c r="E22" s="13" t="s">
        <v>238</v>
      </c>
      <c r="F22" s="13" t="s">
        <v>239</v>
      </c>
      <c r="G22" s="13"/>
      <c r="H22" s="30"/>
      <c r="I22" s="13"/>
      <c r="J22" s="13"/>
      <c r="K22" s="13"/>
    </row>
    <row r="23" spans="1:11" x14ac:dyDescent="0.25">
      <c r="A23" s="13" t="s">
        <v>220</v>
      </c>
      <c r="B23" s="29" t="s">
        <v>23</v>
      </c>
      <c r="C23" s="14" t="s">
        <v>231</v>
      </c>
      <c r="D23" s="29" t="s">
        <v>243</v>
      </c>
      <c r="E23" s="13"/>
      <c r="F23" s="13"/>
      <c r="G23" s="13"/>
      <c r="H23" s="30"/>
      <c r="I23" s="13"/>
      <c r="J23" s="13"/>
      <c r="K23" s="13"/>
    </row>
    <row r="24" spans="1:11" x14ac:dyDescent="0.25">
      <c r="A24" s="13" t="s">
        <v>220</v>
      </c>
      <c r="B24" s="29" t="s">
        <v>23</v>
      </c>
      <c r="C24" s="14" t="s">
        <v>228</v>
      </c>
      <c r="D24" s="29" t="s">
        <v>244</v>
      </c>
      <c r="E24" s="13" t="s">
        <v>238</v>
      </c>
      <c r="F24" s="13" t="s">
        <v>239</v>
      </c>
      <c r="G24" s="13"/>
      <c r="H24" s="30"/>
      <c r="I24" s="13"/>
      <c r="J24" s="13"/>
      <c r="K24" s="13"/>
    </row>
    <row r="25" spans="1:11" x14ac:dyDescent="0.25">
      <c r="A25" s="13" t="s">
        <v>220</v>
      </c>
      <c r="B25" s="29" t="s">
        <v>23</v>
      </c>
      <c r="C25" s="14" t="s">
        <v>221</v>
      </c>
      <c r="D25" s="29" t="s">
        <v>245</v>
      </c>
      <c r="E25" s="13" t="s">
        <v>238</v>
      </c>
      <c r="F25" s="13" t="s">
        <v>239</v>
      </c>
      <c r="G25" s="66">
        <v>0.8</v>
      </c>
      <c r="H25" s="30" t="s">
        <v>156</v>
      </c>
      <c r="I25" s="13"/>
      <c r="J25" s="13"/>
      <c r="K25" s="13"/>
    </row>
    <row r="26" spans="1:11" x14ac:dyDescent="0.25">
      <c r="A26" s="13" t="s">
        <v>220</v>
      </c>
      <c r="B26" s="29" t="s">
        <v>23</v>
      </c>
      <c r="C26" s="14" t="s">
        <v>221</v>
      </c>
      <c r="D26" s="29" t="s">
        <v>246</v>
      </c>
      <c r="E26" s="13" t="s">
        <v>238</v>
      </c>
      <c r="F26" s="13" t="s">
        <v>239</v>
      </c>
      <c r="G26" s="13"/>
      <c r="H26" s="30"/>
      <c r="I26" s="13"/>
      <c r="J26" s="13"/>
      <c r="K26" s="13"/>
    </row>
    <row r="27" spans="1:11" x14ac:dyDescent="0.25">
      <c r="A27" s="13" t="s">
        <v>220</v>
      </c>
      <c r="B27" s="29" t="s">
        <v>23</v>
      </c>
      <c r="C27" s="14" t="s">
        <v>228</v>
      </c>
      <c r="D27" s="29" t="s">
        <v>247</v>
      </c>
      <c r="E27" s="13"/>
      <c r="F27" s="13"/>
      <c r="G27" s="13"/>
      <c r="H27" s="30"/>
      <c r="I27" s="13"/>
      <c r="J27" s="13"/>
      <c r="K27" s="13"/>
    </row>
    <row r="28" spans="1:11" x14ac:dyDescent="0.25">
      <c r="A28" s="13" t="s">
        <v>220</v>
      </c>
      <c r="B28" s="29" t="s">
        <v>23</v>
      </c>
      <c r="C28" s="14" t="s">
        <v>221</v>
      </c>
      <c r="D28" s="29" t="s">
        <v>248</v>
      </c>
      <c r="E28" s="13"/>
      <c r="F28" s="13"/>
      <c r="G28" s="13"/>
      <c r="H28" s="30"/>
      <c r="I28" s="13"/>
      <c r="J28" s="13"/>
      <c r="K28" s="13"/>
    </row>
    <row r="29" spans="1:11" x14ac:dyDescent="0.25">
      <c r="A29" s="13" t="s">
        <v>220</v>
      </c>
      <c r="B29" s="29" t="s">
        <v>23</v>
      </c>
      <c r="C29" s="14" t="s">
        <v>221</v>
      </c>
      <c r="D29" s="29" t="s">
        <v>44</v>
      </c>
      <c r="E29" s="13"/>
      <c r="F29" s="13"/>
      <c r="G29" s="13"/>
      <c r="H29" s="30"/>
      <c r="I29" s="13"/>
      <c r="J29" s="13"/>
      <c r="K29" s="13"/>
    </row>
    <row r="30" spans="1:11" x14ac:dyDescent="0.25">
      <c r="A30" s="13" t="s">
        <v>220</v>
      </c>
      <c r="B30" s="29" t="s">
        <v>23</v>
      </c>
      <c r="C30" s="14" t="s">
        <v>231</v>
      </c>
      <c r="D30" s="29" t="s">
        <v>249</v>
      </c>
      <c r="E30" s="13"/>
      <c r="F30" s="13"/>
      <c r="G30" s="13"/>
      <c r="H30" s="30"/>
      <c r="I30" s="13"/>
      <c r="J30" s="13"/>
      <c r="K30" s="13"/>
    </row>
    <row r="31" spans="1:11" x14ac:dyDescent="0.25">
      <c r="A31" s="13" t="s">
        <v>220</v>
      </c>
      <c r="B31" s="29" t="s">
        <v>23</v>
      </c>
      <c r="C31" s="14" t="s">
        <v>223</v>
      </c>
      <c r="D31" s="29" t="s">
        <v>250</v>
      </c>
      <c r="E31" s="13" t="s">
        <v>208</v>
      </c>
      <c r="F31" s="13" t="s">
        <v>209</v>
      </c>
      <c r="G31" s="66">
        <v>0</v>
      </c>
      <c r="H31" s="30"/>
      <c r="I31" s="13"/>
      <c r="J31" s="13"/>
      <c r="K31" s="13"/>
    </row>
  </sheetData>
  <mergeCells count="1">
    <mergeCell ref="A1:K1"/>
  </mergeCells>
  <conditionalFormatting sqref="H1:H2">
    <cfRule type="containsText" dxfId="3" priority="3" operator="containsText" text="En revisión">
      <formula>NOT(ISERROR(SEARCH("En revisión",H1)))</formula>
    </cfRule>
    <cfRule type="containsText" dxfId="2" priority="4" operator="containsText" text="Rechazado">
      <formula>NOT(ISERROR(SEARCH("Rechazado",H1)))</formula>
    </cfRule>
  </conditionalFormatting>
  <conditionalFormatting sqref="H3:H31">
    <cfRule type="containsText" dxfId="1" priority="1" operator="containsText" text="En revisión">
      <formula>NOT(ISERROR(SEARCH("En revisión",H3)))</formula>
    </cfRule>
    <cfRule type="containsText" dxfId="0" priority="2" operator="containsText" text="Rechazado">
      <formula>NOT(ISERROR(SEARCH("Rechazado",H3)))</formula>
    </cfRule>
  </conditionalFormatting>
  <dataValidations count="1">
    <dataValidation type="list" allowBlank="1" showInputMessage="1" showErrorMessage="1" sqref="H3:H31" xr:uid="{E4AE8C4D-CB2F-4FBB-A05F-E35C0400022F}">
      <formula1>"En revisión, Atención de comentarios, Aprobado, En proceso, Rechazado"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0EBCF-6133-4215-B1F9-A085D6C8DDA1}">
  <sheetPr codeName="Hoja5"/>
  <dimension ref="B3:L104"/>
  <sheetViews>
    <sheetView topLeftCell="A78" zoomScale="70" zoomScaleNormal="70" workbookViewId="0">
      <selection activeCell="D100" activeCellId="10" sqref="D12:D16 D20:D24 D28:D32 D44:D48 D52:D56 D60:D64 D68:D72 D76:D80 D84:D88 D92:D96 D100:D104"/>
    </sheetView>
  </sheetViews>
  <sheetFormatPr baseColWidth="10" defaultColWidth="11.42578125" defaultRowHeight="15" x14ac:dyDescent="0.25"/>
  <cols>
    <col min="2" max="3" width="11.5703125" style="4"/>
    <col min="4" max="4" width="25.140625" customWidth="1"/>
    <col min="5" max="5" width="20.28515625" bestFit="1" customWidth="1"/>
    <col min="6" max="6" width="34.7109375" style="4" customWidth="1"/>
    <col min="7" max="7" width="16.28515625" customWidth="1"/>
    <col min="8" max="8" width="59.28515625" bestFit="1" customWidth="1"/>
    <col min="9" max="9" width="14.5703125" style="1" bestFit="1" customWidth="1"/>
    <col min="10" max="10" width="12.28515625" style="1" customWidth="1"/>
    <col min="11" max="11" width="10.7109375" customWidth="1"/>
    <col min="12" max="12" width="64" bestFit="1" customWidth="1"/>
  </cols>
  <sheetData>
    <row r="3" spans="2:12" x14ac:dyDescent="0.25">
      <c r="B3" s="85" t="e">
        <f>TEXT(Hoja2!#REF!,"d") &amp; " a " &amp; TEXT(Hoja2!#REF!,"d") &amp; " de " &amp; TEXT(Hoja2!#REF!,"mmmm")</f>
        <v>#REF!</v>
      </c>
      <c r="C3" s="85"/>
      <c r="D3" s="33" t="s">
        <v>251</v>
      </c>
      <c r="E3" s="33" t="s">
        <v>252</v>
      </c>
      <c r="F3" s="33" t="s">
        <v>253</v>
      </c>
      <c r="G3" s="33" t="s">
        <v>254</v>
      </c>
      <c r="H3" s="33" t="s">
        <v>255</v>
      </c>
      <c r="I3" s="34" t="s">
        <v>256</v>
      </c>
      <c r="J3" s="34" t="s">
        <v>257</v>
      </c>
      <c r="K3" s="33" t="s">
        <v>9</v>
      </c>
      <c r="L3" s="33" t="s">
        <v>258</v>
      </c>
    </row>
    <row r="4" spans="2:12" x14ac:dyDescent="0.25">
      <c r="B4" s="16" t="e">
        <f>Hoja2!#REF!</f>
        <v>#REF!</v>
      </c>
      <c r="C4" s="14" t="s">
        <v>259</v>
      </c>
      <c r="D4" s="86" t="s">
        <v>260</v>
      </c>
      <c r="E4" s="86" t="s">
        <v>261</v>
      </c>
      <c r="F4" s="24" t="s">
        <v>262</v>
      </c>
      <c r="G4" s="86" t="s">
        <v>263</v>
      </c>
      <c r="H4" s="13" t="s">
        <v>264</v>
      </c>
      <c r="I4" s="15">
        <v>46090</v>
      </c>
      <c r="J4" s="15">
        <v>46090</v>
      </c>
      <c r="K4" s="16" t="s">
        <v>265</v>
      </c>
      <c r="L4" s="13"/>
    </row>
    <row r="5" spans="2:12" x14ac:dyDescent="0.25">
      <c r="B5" s="16" t="e">
        <f>B4+1</f>
        <v>#REF!</v>
      </c>
      <c r="C5" s="14" t="s">
        <v>266</v>
      </c>
      <c r="D5" s="86"/>
      <c r="E5" s="86"/>
      <c r="F5" s="35" t="s">
        <v>267</v>
      </c>
      <c r="G5" s="86"/>
      <c r="H5" s="13" t="s">
        <v>268</v>
      </c>
      <c r="I5" s="15">
        <v>46090</v>
      </c>
      <c r="J5" s="15">
        <v>46091</v>
      </c>
      <c r="K5" s="16" t="s">
        <v>265</v>
      </c>
      <c r="L5" s="13"/>
    </row>
    <row r="6" spans="2:12" x14ac:dyDescent="0.25">
      <c r="B6" s="16" t="e">
        <f>B5+1</f>
        <v>#REF!</v>
      </c>
      <c r="C6" s="14" t="s">
        <v>269</v>
      </c>
      <c r="D6" s="86"/>
      <c r="E6" s="86"/>
      <c r="F6" s="86" t="s">
        <v>270</v>
      </c>
      <c r="G6" s="86"/>
      <c r="H6" s="36" t="s">
        <v>271</v>
      </c>
      <c r="I6" s="15">
        <v>46091</v>
      </c>
      <c r="J6" s="15">
        <v>46092</v>
      </c>
      <c r="K6" s="37" t="s">
        <v>272</v>
      </c>
      <c r="L6" s="13" t="s">
        <v>273</v>
      </c>
    </row>
    <row r="7" spans="2:12" x14ac:dyDescent="0.25">
      <c r="B7" s="16" t="e">
        <f>B6+1</f>
        <v>#REF!</v>
      </c>
      <c r="C7" s="14" t="s">
        <v>274</v>
      </c>
      <c r="D7" s="86"/>
      <c r="E7" s="86"/>
      <c r="F7" s="86"/>
      <c r="G7" s="86"/>
      <c r="H7" s="38" t="s">
        <v>275</v>
      </c>
      <c r="I7" s="15">
        <v>46092</v>
      </c>
      <c r="J7" s="15">
        <v>46093</v>
      </c>
      <c r="K7" s="37" t="s">
        <v>272</v>
      </c>
      <c r="L7" s="14" t="s">
        <v>276</v>
      </c>
    </row>
    <row r="8" spans="2:12" x14ac:dyDescent="0.25">
      <c r="B8" s="16" t="e">
        <f>B7+1</f>
        <v>#REF!</v>
      </c>
      <c r="C8" s="14" t="s">
        <v>277</v>
      </c>
      <c r="D8" s="86"/>
      <c r="E8" s="86"/>
      <c r="F8" s="86"/>
      <c r="G8" s="86"/>
      <c r="H8" s="37" t="s">
        <v>278</v>
      </c>
      <c r="I8" s="15">
        <v>46093</v>
      </c>
      <c r="J8" s="15">
        <v>46094</v>
      </c>
      <c r="K8" s="37" t="s">
        <v>272</v>
      </c>
      <c r="L8" s="13" t="s">
        <v>279</v>
      </c>
    </row>
    <row r="11" spans="2:12" x14ac:dyDescent="0.25">
      <c r="B11" s="85" t="e">
        <f>TEXT(Hoja2!#REF!,"d") &amp; " a " &amp; TEXT(Hoja2!#REF!,"d") &amp; " de " &amp; TEXT(Hoja2!#REF!,"mmmm")</f>
        <v>#REF!</v>
      </c>
      <c r="C11" s="85"/>
      <c r="D11" s="33" t="s">
        <v>251</v>
      </c>
      <c r="E11" s="33" t="s">
        <v>252</v>
      </c>
      <c r="F11" s="33" t="s">
        <v>253</v>
      </c>
      <c r="G11" s="33" t="s">
        <v>254</v>
      </c>
      <c r="H11" s="33" t="s">
        <v>255</v>
      </c>
      <c r="I11" s="34" t="s">
        <v>256</v>
      </c>
      <c r="J11" s="34" t="s">
        <v>257</v>
      </c>
      <c r="K11" s="33" t="s">
        <v>9</v>
      </c>
      <c r="L11" s="33" t="s">
        <v>258</v>
      </c>
    </row>
    <row r="12" spans="2:12" x14ac:dyDescent="0.25">
      <c r="B12" s="16" t="e">
        <f>Hoja2!#REF!</f>
        <v>#REF!</v>
      </c>
      <c r="C12" s="14" t="s">
        <v>259</v>
      </c>
      <c r="D12" s="86" t="s">
        <v>280</v>
      </c>
      <c r="E12" s="86" t="s">
        <v>261</v>
      </c>
      <c r="F12" s="86" t="s">
        <v>281</v>
      </c>
      <c r="G12" s="86" t="s">
        <v>263</v>
      </c>
      <c r="H12" s="13" t="s">
        <v>282</v>
      </c>
      <c r="I12" s="90" t="e">
        <f>Hoja2!#REF!</f>
        <v>#REF!</v>
      </c>
      <c r="J12" s="90">
        <v>46097</v>
      </c>
      <c r="K12" s="16" t="s">
        <v>265</v>
      </c>
      <c r="L12" s="13"/>
    </row>
    <row r="13" spans="2:12" x14ac:dyDescent="0.25">
      <c r="B13" s="16" t="e">
        <f>B12+1</f>
        <v>#REF!</v>
      </c>
      <c r="C13" s="14" t="s">
        <v>266</v>
      </c>
      <c r="D13" s="86"/>
      <c r="E13" s="86"/>
      <c r="F13" s="86"/>
      <c r="G13" s="86"/>
      <c r="H13" s="13" t="s">
        <v>283</v>
      </c>
      <c r="I13" s="90"/>
      <c r="J13" s="90"/>
      <c r="K13" s="16" t="s">
        <v>265</v>
      </c>
      <c r="L13" s="13"/>
    </row>
    <row r="14" spans="2:12" x14ac:dyDescent="0.25">
      <c r="B14" s="16" t="e">
        <f>B13+1</f>
        <v>#REF!</v>
      </c>
      <c r="C14" s="14" t="s">
        <v>269</v>
      </c>
      <c r="D14" s="86"/>
      <c r="E14" s="86"/>
      <c r="F14" s="86"/>
      <c r="G14" s="86"/>
      <c r="H14" s="13" t="s">
        <v>284</v>
      </c>
      <c r="I14" s="90"/>
      <c r="J14" s="90"/>
      <c r="K14" s="37" t="s">
        <v>265</v>
      </c>
      <c r="L14" s="13"/>
    </row>
    <row r="15" spans="2:12" ht="14.45" customHeight="1" x14ac:dyDescent="0.25">
      <c r="B15" s="16" t="e">
        <f>B14+1</f>
        <v>#REF!</v>
      </c>
      <c r="C15" s="14" t="s">
        <v>274</v>
      </c>
      <c r="D15" s="86"/>
      <c r="E15" s="86"/>
      <c r="F15" s="86"/>
      <c r="G15" s="86"/>
      <c r="H15" s="13" t="s">
        <v>285</v>
      </c>
      <c r="I15" s="90"/>
      <c r="J15" s="90"/>
      <c r="K15" s="37" t="s">
        <v>156</v>
      </c>
      <c r="L15" s="13"/>
    </row>
    <row r="16" spans="2:12" x14ac:dyDescent="0.25">
      <c r="B16" s="16" t="e">
        <f>B15+1</f>
        <v>#REF!</v>
      </c>
      <c r="C16" s="14" t="s">
        <v>277</v>
      </c>
      <c r="D16" s="86"/>
      <c r="E16" s="86"/>
      <c r="F16" s="86"/>
      <c r="G16" s="86"/>
      <c r="H16" s="13" t="s">
        <v>286</v>
      </c>
      <c r="I16" s="90"/>
      <c r="J16" s="90"/>
      <c r="K16" s="37" t="s">
        <v>156</v>
      </c>
      <c r="L16" s="13"/>
    </row>
    <row r="19" spans="2:12" x14ac:dyDescent="0.25">
      <c r="B19" s="85" t="e">
        <f>TEXT(Hoja2!#REF!,"d") &amp; " a " &amp; TEXT(Hoja2!#REF!,"d") &amp; " de " &amp; TEXT(Hoja2!#REF!,"mmmm")</f>
        <v>#REF!</v>
      </c>
      <c r="C19" s="85"/>
      <c r="D19" s="33" t="s">
        <v>251</v>
      </c>
      <c r="E19" s="33" t="s">
        <v>252</v>
      </c>
      <c r="F19" s="33" t="s">
        <v>253</v>
      </c>
      <c r="G19" s="33" t="s">
        <v>254</v>
      </c>
      <c r="H19" s="33" t="s">
        <v>255</v>
      </c>
      <c r="I19" s="34" t="s">
        <v>256</v>
      </c>
      <c r="J19" s="34" t="s">
        <v>257</v>
      </c>
      <c r="K19" s="33" t="s">
        <v>9</v>
      </c>
      <c r="L19" s="33" t="s">
        <v>258</v>
      </c>
    </row>
    <row r="20" spans="2:12" x14ac:dyDescent="0.25">
      <c r="B20" s="16" t="e">
        <f>Hoja2!#REF!</f>
        <v>#REF!</v>
      </c>
      <c r="C20" s="14" t="s">
        <v>259</v>
      </c>
      <c r="D20" s="86" t="s">
        <v>287</v>
      </c>
      <c r="E20" s="86" t="s">
        <v>288</v>
      </c>
      <c r="F20" s="86" t="s">
        <v>270</v>
      </c>
      <c r="G20" s="86" t="s">
        <v>263</v>
      </c>
      <c r="H20" s="86" t="s">
        <v>289</v>
      </c>
      <c r="I20" s="90">
        <v>46090</v>
      </c>
      <c r="J20" s="90">
        <v>46091</v>
      </c>
      <c r="K20" s="90" t="s">
        <v>265</v>
      </c>
      <c r="L20" s="86"/>
    </row>
    <row r="21" spans="2:12" x14ac:dyDescent="0.25">
      <c r="B21" s="16" t="e">
        <f>B20+1</f>
        <v>#REF!</v>
      </c>
      <c r="C21" s="14" t="s">
        <v>266</v>
      </c>
      <c r="D21" s="86"/>
      <c r="E21" s="86"/>
      <c r="F21" s="86"/>
      <c r="G21" s="86"/>
      <c r="H21" s="86"/>
      <c r="I21" s="90"/>
      <c r="J21" s="90"/>
      <c r="K21" s="90"/>
      <c r="L21" s="86"/>
    </row>
    <row r="22" spans="2:12" x14ac:dyDescent="0.25">
      <c r="B22" s="16" t="e">
        <f>B21+1</f>
        <v>#REF!</v>
      </c>
      <c r="C22" s="14" t="s">
        <v>269</v>
      </c>
      <c r="D22" s="86"/>
      <c r="E22" s="86"/>
      <c r="F22" s="86"/>
      <c r="G22" s="86"/>
      <c r="H22" s="84" t="s">
        <v>290</v>
      </c>
      <c r="I22" s="90">
        <v>46092</v>
      </c>
      <c r="J22" s="90">
        <v>46094</v>
      </c>
      <c r="K22" s="37" t="s">
        <v>265</v>
      </c>
      <c r="L22" s="13"/>
    </row>
    <row r="23" spans="2:12" x14ac:dyDescent="0.25">
      <c r="B23" s="16" t="e">
        <f>B22+1</f>
        <v>#REF!</v>
      </c>
      <c r="C23" s="14" t="s">
        <v>274</v>
      </c>
      <c r="D23" s="86"/>
      <c r="E23" s="86"/>
      <c r="F23" s="86"/>
      <c r="G23" s="86"/>
      <c r="H23" s="84"/>
      <c r="I23" s="90"/>
      <c r="J23" s="90"/>
      <c r="K23" s="37" t="s">
        <v>265</v>
      </c>
      <c r="L23" s="13"/>
    </row>
    <row r="24" spans="2:12" x14ac:dyDescent="0.25">
      <c r="B24" s="16" t="e">
        <f>B23+1</f>
        <v>#REF!</v>
      </c>
      <c r="C24" s="14" t="s">
        <v>277</v>
      </c>
      <c r="D24" s="86"/>
      <c r="E24" s="86"/>
      <c r="F24" s="86"/>
      <c r="G24" s="86"/>
      <c r="H24" s="84"/>
      <c r="I24" s="90"/>
      <c r="J24" s="90"/>
      <c r="K24" s="37" t="s">
        <v>265</v>
      </c>
      <c r="L24" s="13"/>
    </row>
    <row r="27" spans="2:12" x14ac:dyDescent="0.25">
      <c r="B27" s="85" t="e">
        <f>TEXT(Hoja2!#REF!,"d") &amp; " a " &amp; TEXT(Hoja2!#REF!,"d") &amp; " de " &amp; TEXT(Hoja2!#REF!,"mmmm")</f>
        <v>#REF!</v>
      </c>
      <c r="C27" s="85"/>
      <c r="D27" s="33" t="s">
        <v>251</v>
      </c>
      <c r="E27" s="33" t="s">
        <v>252</v>
      </c>
      <c r="F27" s="33" t="s">
        <v>253</v>
      </c>
      <c r="G27" s="33" t="s">
        <v>254</v>
      </c>
      <c r="H27" s="33" t="s">
        <v>255</v>
      </c>
      <c r="I27" s="34" t="s">
        <v>256</v>
      </c>
      <c r="J27" s="34" t="s">
        <v>257</v>
      </c>
      <c r="K27" s="33" t="s">
        <v>9</v>
      </c>
      <c r="L27" s="33" t="s">
        <v>258</v>
      </c>
    </row>
    <row r="28" spans="2:12" x14ac:dyDescent="0.25">
      <c r="B28" s="15" t="e">
        <f>Hoja2!#REF!</f>
        <v>#REF!</v>
      </c>
      <c r="C28" s="24" t="s">
        <v>259</v>
      </c>
      <c r="D28" s="86" t="s">
        <v>291</v>
      </c>
      <c r="E28" s="86" t="s">
        <v>288</v>
      </c>
      <c r="F28" s="86" t="s">
        <v>292</v>
      </c>
      <c r="G28" s="86" t="s">
        <v>293</v>
      </c>
      <c r="H28" s="24" t="s">
        <v>294</v>
      </c>
      <c r="I28" s="15">
        <v>46094</v>
      </c>
      <c r="J28" s="15">
        <v>46101</v>
      </c>
      <c r="K28" s="16" t="s">
        <v>156</v>
      </c>
      <c r="L28" s="13"/>
    </row>
    <row r="29" spans="2:12" x14ac:dyDescent="0.25">
      <c r="B29" s="15" t="e">
        <f>B28+1</f>
        <v>#REF!</v>
      </c>
      <c r="C29" s="24" t="s">
        <v>266</v>
      </c>
      <c r="D29" s="86"/>
      <c r="E29" s="86"/>
      <c r="F29" s="86"/>
      <c r="G29" s="86"/>
      <c r="H29" s="24" t="s">
        <v>294</v>
      </c>
      <c r="I29" s="15">
        <v>46094</v>
      </c>
      <c r="J29" s="15">
        <v>46101</v>
      </c>
      <c r="K29" s="16"/>
      <c r="L29" s="13"/>
    </row>
    <row r="30" spans="2:12" x14ac:dyDescent="0.25">
      <c r="B30" s="15" t="e">
        <f>B29+1</f>
        <v>#REF!</v>
      </c>
      <c r="C30" s="24" t="s">
        <v>269</v>
      </c>
      <c r="D30" s="86"/>
      <c r="E30" s="86"/>
      <c r="F30" s="86"/>
      <c r="G30" s="86"/>
      <c r="H30" s="24" t="s">
        <v>294</v>
      </c>
      <c r="I30" s="15">
        <v>46094</v>
      </c>
      <c r="J30" s="15">
        <v>46101</v>
      </c>
      <c r="K30" s="37"/>
      <c r="L30" s="13"/>
    </row>
    <row r="31" spans="2:12" x14ac:dyDescent="0.25">
      <c r="B31" s="15" t="e">
        <f>B30+1</f>
        <v>#REF!</v>
      </c>
      <c r="C31" s="24" t="s">
        <v>274</v>
      </c>
      <c r="D31" s="86"/>
      <c r="E31" s="86"/>
      <c r="F31" s="86"/>
      <c r="G31" s="86"/>
      <c r="H31" s="24" t="s">
        <v>294</v>
      </c>
      <c r="I31" s="15">
        <v>46094</v>
      </c>
      <c r="J31" s="15">
        <v>46101</v>
      </c>
      <c r="K31" s="37"/>
      <c r="L31" s="13"/>
    </row>
    <row r="32" spans="2:12" x14ac:dyDescent="0.25">
      <c r="B32" s="15" t="e">
        <f>B31+1</f>
        <v>#REF!</v>
      </c>
      <c r="C32" s="24" t="s">
        <v>277</v>
      </c>
      <c r="D32" s="86"/>
      <c r="E32" s="86"/>
      <c r="F32" s="86"/>
      <c r="G32" s="86"/>
      <c r="H32" s="24" t="s">
        <v>294</v>
      </c>
      <c r="I32" s="15">
        <v>46094</v>
      </c>
      <c r="J32" s="15">
        <v>46101</v>
      </c>
      <c r="K32" s="37"/>
      <c r="L32" s="13"/>
    </row>
    <row r="35" spans="2:12" x14ac:dyDescent="0.25">
      <c r="B35" s="85" t="e">
        <f>TEXT(Hoja2!#REF!,"d") &amp; " a " &amp; TEXT(Hoja2!#REF!,"d") &amp; " de " &amp; TEXT(Hoja2!#REF!,"mmmm")</f>
        <v>#REF!</v>
      </c>
      <c r="C35" s="85"/>
      <c r="D35" s="33" t="s">
        <v>251</v>
      </c>
      <c r="E35" s="33" t="s">
        <v>252</v>
      </c>
      <c r="F35" s="33" t="s">
        <v>253</v>
      </c>
      <c r="G35" s="33" t="s">
        <v>254</v>
      </c>
      <c r="H35" s="33" t="s">
        <v>255</v>
      </c>
      <c r="I35" s="34" t="s">
        <v>256</v>
      </c>
      <c r="J35" s="34" t="s">
        <v>257</v>
      </c>
      <c r="K35" s="33" t="s">
        <v>9</v>
      </c>
      <c r="L35" s="33" t="s">
        <v>258</v>
      </c>
    </row>
    <row r="36" spans="2:12" x14ac:dyDescent="0.25">
      <c r="B36" s="16" t="e">
        <f>Hoja2!#REF!</f>
        <v>#REF!</v>
      </c>
      <c r="C36" s="14" t="s">
        <v>259</v>
      </c>
      <c r="D36" s="86" t="s">
        <v>295</v>
      </c>
      <c r="E36" s="86" t="s">
        <v>288</v>
      </c>
      <c r="F36" s="84" t="s">
        <v>296</v>
      </c>
      <c r="G36" s="86" t="s">
        <v>297</v>
      </c>
      <c r="H36" s="36" t="s">
        <v>298</v>
      </c>
      <c r="I36" s="15">
        <v>46090</v>
      </c>
      <c r="J36" s="15">
        <v>46091</v>
      </c>
      <c r="K36" s="16" t="s">
        <v>265</v>
      </c>
      <c r="L36" s="13"/>
    </row>
    <row r="37" spans="2:12" x14ac:dyDescent="0.25">
      <c r="B37" s="16" t="e">
        <f>B36+1</f>
        <v>#REF!</v>
      </c>
      <c r="C37" s="14" t="s">
        <v>266</v>
      </c>
      <c r="D37" s="86"/>
      <c r="E37" s="86"/>
      <c r="F37" s="84"/>
      <c r="G37" s="86"/>
      <c r="H37" s="36" t="s">
        <v>298</v>
      </c>
      <c r="I37" s="15">
        <v>46090</v>
      </c>
      <c r="J37" s="15">
        <v>46091</v>
      </c>
      <c r="K37" s="16" t="s">
        <v>265</v>
      </c>
      <c r="L37" s="13"/>
    </row>
    <row r="38" spans="2:12" x14ac:dyDescent="0.25">
      <c r="B38" s="16" t="e">
        <f>B37+1</f>
        <v>#REF!</v>
      </c>
      <c r="C38" s="14" t="s">
        <v>269</v>
      </c>
      <c r="D38" s="86"/>
      <c r="E38" s="86"/>
      <c r="F38" s="84"/>
      <c r="G38" s="86"/>
      <c r="H38" s="13" t="s">
        <v>299</v>
      </c>
      <c r="I38" s="15">
        <v>46092</v>
      </c>
      <c r="J38" s="15">
        <v>46092</v>
      </c>
      <c r="K38" s="37" t="s">
        <v>265</v>
      </c>
      <c r="L38" s="13"/>
    </row>
    <row r="39" spans="2:12" x14ac:dyDescent="0.25">
      <c r="B39" s="16" t="e">
        <f>B38+1</f>
        <v>#REF!</v>
      </c>
      <c r="C39" s="14" t="s">
        <v>274</v>
      </c>
      <c r="D39" s="86"/>
      <c r="E39" s="86"/>
      <c r="F39" s="84"/>
      <c r="G39" s="86"/>
      <c r="H39" s="13" t="s">
        <v>300</v>
      </c>
      <c r="I39" s="15">
        <v>46093</v>
      </c>
      <c r="J39" s="15">
        <v>46094</v>
      </c>
      <c r="K39" s="37" t="s">
        <v>265</v>
      </c>
      <c r="L39" s="13"/>
    </row>
    <row r="40" spans="2:12" x14ac:dyDescent="0.25">
      <c r="B40" s="16" t="e">
        <f>B39+1</f>
        <v>#REF!</v>
      </c>
      <c r="C40" s="14" t="s">
        <v>277</v>
      </c>
      <c r="D40" s="86"/>
      <c r="E40" s="86"/>
      <c r="F40" s="84"/>
      <c r="G40" s="86"/>
      <c r="H40" s="13" t="s">
        <v>299</v>
      </c>
      <c r="I40" s="15">
        <v>46093</v>
      </c>
      <c r="J40" s="15">
        <v>46094</v>
      </c>
      <c r="K40" s="37" t="s">
        <v>265</v>
      </c>
      <c r="L40" s="13"/>
    </row>
    <row r="43" spans="2:12" x14ac:dyDescent="0.25">
      <c r="B43" s="85" t="e">
        <f>TEXT(Hoja2!#REF!,"d") &amp; " a " &amp; TEXT(Hoja2!#REF!,"d") &amp; " de " &amp; TEXT(Hoja2!#REF!,"mmmm")</f>
        <v>#REF!</v>
      </c>
      <c r="C43" s="85"/>
      <c r="D43" s="33" t="s">
        <v>251</v>
      </c>
      <c r="E43" s="33" t="s">
        <v>252</v>
      </c>
      <c r="F43" s="33" t="s">
        <v>253</v>
      </c>
      <c r="G43" s="33" t="s">
        <v>254</v>
      </c>
      <c r="H43" s="33" t="s">
        <v>255</v>
      </c>
      <c r="I43" s="34" t="s">
        <v>256</v>
      </c>
      <c r="J43" s="34" t="s">
        <v>257</v>
      </c>
      <c r="K43" s="33" t="s">
        <v>9</v>
      </c>
      <c r="L43" s="33" t="s">
        <v>258</v>
      </c>
    </row>
    <row r="44" spans="2:12" x14ac:dyDescent="0.25">
      <c r="B44" s="16" t="e">
        <f>Hoja2!#REF!</f>
        <v>#REF!</v>
      </c>
      <c r="C44" s="14" t="s">
        <v>259</v>
      </c>
      <c r="D44" s="87" t="s">
        <v>301</v>
      </c>
      <c r="E44" s="86" t="s">
        <v>302</v>
      </c>
      <c r="F44" s="86" t="s">
        <v>303</v>
      </c>
      <c r="G44" s="84" t="s">
        <v>263</v>
      </c>
      <c r="H44" s="36" t="s">
        <v>304</v>
      </c>
      <c r="I44" s="15">
        <v>46090</v>
      </c>
      <c r="J44" s="15">
        <v>46091</v>
      </c>
      <c r="K44" s="16" t="s">
        <v>156</v>
      </c>
      <c r="L44" s="13"/>
    </row>
    <row r="45" spans="2:12" x14ac:dyDescent="0.25">
      <c r="B45" s="16" t="e">
        <f>B44+1</f>
        <v>#REF!</v>
      </c>
      <c r="C45" s="14" t="s">
        <v>266</v>
      </c>
      <c r="D45" s="87"/>
      <c r="E45" s="86"/>
      <c r="F45" s="86"/>
      <c r="G45" s="84"/>
      <c r="H45" s="36" t="s">
        <v>305</v>
      </c>
      <c r="I45" s="15">
        <v>46091</v>
      </c>
      <c r="J45" s="15">
        <v>46092</v>
      </c>
      <c r="K45" s="16" t="s">
        <v>156</v>
      </c>
      <c r="L45" s="13" t="s">
        <v>306</v>
      </c>
    </row>
    <row r="46" spans="2:12" x14ac:dyDescent="0.25">
      <c r="B46" s="16" t="e">
        <f>B45+1</f>
        <v>#REF!</v>
      </c>
      <c r="C46" s="14" t="s">
        <v>269</v>
      </c>
      <c r="D46" s="87"/>
      <c r="E46" s="86"/>
      <c r="F46" s="86"/>
      <c r="G46" s="84"/>
      <c r="H46" s="36" t="s">
        <v>307</v>
      </c>
      <c r="I46" s="15">
        <v>46092</v>
      </c>
      <c r="J46" s="15">
        <v>46093</v>
      </c>
      <c r="K46" s="37"/>
      <c r="L46" s="13"/>
    </row>
    <row r="47" spans="2:12" x14ac:dyDescent="0.25">
      <c r="B47" s="16" t="e">
        <f>B46+1</f>
        <v>#REF!</v>
      </c>
      <c r="C47" s="14" t="s">
        <v>274</v>
      </c>
      <c r="D47" s="87"/>
      <c r="E47" s="86"/>
      <c r="F47" s="86"/>
      <c r="G47" s="84"/>
      <c r="H47" s="36" t="s">
        <v>307</v>
      </c>
      <c r="I47" s="15">
        <v>46093</v>
      </c>
      <c r="J47" s="15">
        <v>46094</v>
      </c>
      <c r="K47" s="37"/>
      <c r="L47" s="13"/>
    </row>
    <row r="48" spans="2:12" x14ac:dyDescent="0.25">
      <c r="B48" s="16" t="e">
        <f>B47+1</f>
        <v>#REF!</v>
      </c>
      <c r="C48" s="14" t="s">
        <v>277</v>
      </c>
      <c r="D48" s="87"/>
      <c r="E48" s="86"/>
      <c r="F48" s="86"/>
      <c r="G48" s="84"/>
      <c r="H48" s="36" t="s">
        <v>307</v>
      </c>
      <c r="I48" s="15">
        <v>46094</v>
      </c>
      <c r="J48" s="15">
        <v>46094</v>
      </c>
      <c r="K48" s="37" t="s">
        <v>265</v>
      </c>
      <c r="L48" s="13" t="s">
        <v>308</v>
      </c>
    </row>
    <row r="51" spans="2:12" x14ac:dyDescent="0.25">
      <c r="B51" s="85" t="e">
        <f>TEXT(Hoja2!#REF!,"d") &amp; " a " &amp; TEXT(Hoja2!#REF!,"d") &amp; " de " &amp; TEXT(Hoja2!#REF!,"mmmm")</f>
        <v>#REF!</v>
      </c>
      <c r="C51" s="85"/>
      <c r="D51" s="33" t="s">
        <v>251</v>
      </c>
      <c r="E51" s="33" t="s">
        <v>252</v>
      </c>
      <c r="F51" s="33" t="s">
        <v>253</v>
      </c>
      <c r="G51" s="33" t="s">
        <v>254</v>
      </c>
      <c r="H51" s="33" t="s">
        <v>255</v>
      </c>
      <c r="I51" s="34" t="s">
        <v>256</v>
      </c>
      <c r="J51" s="34" t="s">
        <v>257</v>
      </c>
      <c r="K51" s="33" t="s">
        <v>9</v>
      </c>
      <c r="L51" s="33" t="s">
        <v>258</v>
      </c>
    </row>
    <row r="52" spans="2:12" x14ac:dyDescent="0.25">
      <c r="B52" s="16" t="e">
        <f>Hoja2!#REF!</f>
        <v>#REF!</v>
      </c>
      <c r="C52" s="14" t="s">
        <v>259</v>
      </c>
      <c r="D52" s="87" t="s">
        <v>309</v>
      </c>
      <c r="E52" s="86" t="s">
        <v>302</v>
      </c>
      <c r="F52" s="86" t="s">
        <v>262</v>
      </c>
      <c r="G52" s="84" t="s">
        <v>263</v>
      </c>
      <c r="H52" s="36" t="s">
        <v>310</v>
      </c>
      <c r="I52" s="15" t="e">
        <f>B52</f>
        <v>#REF!</v>
      </c>
      <c r="J52" s="15" t="e">
        <f>B53</f>
        <v>#REF!</v>
      </c>
      <c r="K52" s="16"/>
      <c r="L52" s="13"/>
    </row>
    <row r="53" spans="2:12" x14ac:dyDescent="0.25">
      <c r="B53" s="16" t="e">
        <f>B52+1</f>
        <v>#REF!</v>
      </c>
      <c r="C53" s="14" t="s">
        <v>266</v>
      </c>
      <c r="D53" s="87"/>
      <c r="E53" s="86"/>
      <c r="F53" s="86"/>
      <c r="G53" s="84"/>
      <c r="H53" s="36" t="s">
        <v>310</v>
      </c>
      <c r="I53" s="15" t="e">
        <f>B53</f>
        <v>#REF!</v>
      </c>
      <c r="J53" s="15" t="e">
        <f>B54</f>
        <v>#REF!</v>
      </c>
      <c r="K53" s="16"/>
      <c r="L53" s="13"/>
    </row>
    <row r="54" spans="2:12" x14ac:dyDescent="0.25">
      <c r="B54" s="16" t="e">
        <f>B53+1</f>
        <v>#REF!</v>
      </c>
      <c r="C54" s="14" t="s">
        <v>269</v>
      </c>
      <c r="D54" s="87"/>
      <c r="E54" s="86"/>
      <c r="F54" s="86"/>
      <c r="G54" s="84"/>
      <c r="H54" s="36" t="s">
        <v>310</v>
      </c>
      <c r="I54" s="15" t="e">
        <f>B54</f>
        <v>#REF!</v>
      </c>
      <c r="J54" s="15" t="e">
        <f>B55</f>
        <v>#REF!</v>
      </c>
      <c r="K54" s="37"/>
      <c r="L54" s="13"/>
    </row>
    <row r="55" spans="2:12" x14ac:dyDescent="0.25">
      <c r="B55" s="16" t="e">
        <f>B54+1</f>
        <v>#REF!</v>
      </c>
      <c r="C55" s="14" t="s">
        <v>274</v>
      </c>
      <c r="D55" s="87"/>
      <c r="E55" s="86"/>
      <c r="F55" s="86"/>
      <c r="G55" s="84"/>
      <c r="H55" s="36" t="s">
        <v>310</v>
      </c>
      <c r="I55" s="15" t="e">
        <f>B55</f>
        <v>#REF!</v>
      </c>
      <c r="J55" s="15" t="e">
        <f>B56</f>
        <v>#REF!</v>
      </c>
      <c r="K55" s="37"/>
      <c r="L55" s="13"/>
    </row>
    <row r="56" spans="2:12" x14ac:dyDescent="0.25">
      <c r="B56" s="16" t="e">
        <f>B55+1</f>
        <v>#REF!</v>
      </c>
      <c r="C56" s="14" t="s">
        <v>277</v>
      </c>
      <c r="D56" s="87"/>
      <c r="E56" s="86"/>
      <c r="F56" s="86"/>
      <c r="G56" s="84"/>
      <c r="H56" s="36" t="s">
        <v>310</v>
      </c>
      <c r="I56" s="15" t="e">
        <f>B56</f>
        <v>#REF!</v>
      </c>
      <c r="J56" s="15" t="e">
        <f>J55</f>
        <v>#REF!</v>
      </c>
      <c r="K56" s="37"/>
      <c r="L56" s="13"/>
    </row>
    <row r="59" spans="2:12" x14ac:dyDescent="0.25">
      <c r="B59" s="85" t="e">
        <f>TEXT(Hoja2!#REF!,"d") &amp; " a " &amp; TEXT(Hoja2!#REF!,"d") &amp; " de " &amp; TEXT(Hoja2!#REF!,"mmmm")</f>
        <v>#REF!</v>
      </c>
      <c r="C59" s="85"/>
      <c r="D59" s="33" t="s">
        <v>251</v>
      </c>
      <c r="E59" s="33" t="s">
        <v>252</v>
      </c>
      <c r="F59" s="33" t="s">
        <v>253</v>
      </c>
      <c r="G59" s="33" t="s">
        <v>254</v>
      </c>
      <c r="H59" s="33" t="s">
        <v>255</v>
      </c>
      <c r="I59" s="34" t="s">
        <v>256</v>
      </c>
      <c r="J59" s="34" t="s">
        <v>257</v>
      </c>
      <c r="K59" s="33" t="s">
        <v>9</v>
      </c>
      <c r="L59" s="33" t="s">
        <v>258</v>
      </c>
    </row>
    <row r="60" spans="2:12" x14ac:dyDescent="0.25">
      <c r="B60" s="16" t="e">
        <f>Hoja2!#REF!</f>
        <v>#REF!</v>
      </c>
      <c r="C60" s="14" t="s">
        <v>259</v>
      </c>
      <c r="D60" s="86" t="s">
        <v>311</v>
      </c>
      <c r="E60" s="86" t="s">
        <v>302</v>
      </c>
      <c r="F60" s="86" t="s">
        <v>262</v>
      </c>
      <c r="G60" s="84" t="s">
        <v>263</v>
      </c>
      <c r="H60" s="81" t="s">
        <v>312</v>
      </c>
      <c r="I60" s="15">
        <v>46090</v>
      </c>
      <c r="J60" s="15">
        <v>46336</v>
      </c>
      <c r="K60" s="16"/>
      <c r="L60" s="13"/>
    </row>
    <row r="61" spans="2:12" ht="14.45" customHeight="1" x14ac:dyDescent="0.25">
      <c r="B61" s="16" t="e">
        <f>B60+1</f>
        <v>#REF!</v>
      </c>
      <c r="C61" s="14" t="s">
        <v>266</v>
      </c>
      <c r="D61" s="86"/>
      <c r="E61" s="86"/>
      <c r="F61" s="86"/>
      <c r="G61" s="84"/>
      <c r="H61" s="82"/>
      <c r="I61" s="15">
        <v>46091</v>
      </c>
      <c r="J61" s="15">
        <v>46337</v>
      </c>
      <c r="K61" s="16"/>
      <c r="L61" s="13"/>
    </row>
    <row r="62" spans="2:12" x14ac:dyDescent="0.25">
      <c r="B62" s="16" t="e">
        <f>B61+1</f>
        <v>#REF!</v>
      </c>
      <c r="C62" s="14" t="s">
        <v>269</v>
      </c>
      <c r="D62" s="86"/>
      <c r="E62" s="86"/>
      <c r="F62" s="86"/>
      <c r="G62" s="84"/>
      <c r="H62" s="39" t="s">
        <v>313</v>
      </c>
      <c r="I62" s="15">
        <v>46092</v>
      </c>
      <c r="J62" s="15">
        <v>46338</v>
      </c>
      <c r="K62" s="37"/>
      <c r="L62" s="13"/>
    </row>
    <row r="63" spans="2:12" x14ac:dyDescent="0.25">
      <c r="B63" s="16" t="e">
        <f>B62+1</f>
        <v>#REF!</v>
      </c>
      <c r="C63" s="14" t="s">
        <v>274</v>
      </c>
      <c r="D63" s="86"/>
      <c r="E63" s="86"/>
      <c r="F63" s="86"/>
      <c r="G63" s="84"/>
      <c r="H63" s="39" t="s">
        <v>313</v>
      </c>
      <c r="I63" s="15">
        <v>46093</v>
      </c>
      <c r="J63" s="15">
        <v>46339</v>
      </c>
      <c r="K63" s="37"/>
      <c r="L63" s="13"/>
    </row>
    <row r="64" spans="2:12" x14ac:dyDescent="0.25">
      <c r="B64" s="16" t="e">
        <f>B63+1</f>
        <v>#REF!</v>
      </c>
      <c r="C64" s="14" t="s">
        <v>277</v>
      </c>
      <c r="D64" s="86"/>
      <c r="E64" s="86"/>
      <c r="F64" s="86"/>
      <c r="G64" s="84"/>
      <c r="H64" s="39" t="s">
        <v>313</v>
      </c>
      <c r="I64" s="15">
        <v>46094</v>
      </c>
      <c r="J64" s="15">
        <v>46340</v>
      </c>
      <c r="K64" s="37"/>
      <c r="L64" s="13"/>
    </row>
    <row r="65" spans="2:12" x14ac:dyDescent="0.25">
      <c r="B65" s="5"/>
      <c r="D65" s="1"/>
      <c r="E65" s="1"/>
      <c r="F65" s="1"/>
      <c r="G65" s="2"/>
      <c r="H65" s="1"/>
      <c r="I65" s="3"/>
      <c r="J65" s="3"/>
      <c r="K65" s="3"/>
    </row>
    <row r="66" spans="2:12" x14ac:dyDescent="0.25">
      <c r="B66" s="5"/>
      <c r="D66" s="1"/>
      <c r="E66" s="1"/>
      <c r="F66" s="1"/>
      <c r="G66" s="2"/>
      <c r="H66" s="1"/>
      <c r="I66" s="3"/>
      <c r="J66" s="3"/>
      <c r="K66" s="3"/>
    </row>
    <row r="67" spans="2:12" x14ac:dyDescent="0.25">
      <c r="B67" s="85" t="e">
        <f>TEXT(Hoja2!#REF!,"d") &amp; " a " &amp; TEXT(Hoja2!#REF!,"d") &amp; " de " &amp; TEXT(Hoja2!#REF!,"mmmm")</f>
        <v>#REF!</v>
      </c>
      <c r="C67" s="85"/>
      <c r="D67" s="33" t="s">
        <v>251</v>
      </c>
      <c r="E67" s="33" t="s">
        <v>252</v>
      </c>
      <c r="F67" s="33" t="s">
        <v>253</v>
      </c>
      <c r="G67" s="33" t="s">
        <v>254</v>
      </c>
      <c r="H67" s="33" t="s">
        <v>255</v>
      </c>
      <c r="I67" s="34" t="s">
        <v>256</v>
      </c>
      <c r="J67" s="34" t="s">
        <v>257</v>
      </c>
      <c r="K67" s="33" t="s">
        <v>9</v>
      </c>
      <c r="L67" s="33" t="s">
        <v>258</v>
      </c>
    </row>
    <row r="68" spans="2:12" ht="14.45" customHeight="1" x14ac:dyDescent="0.25">
      <c r="B68" s="16" t="e">
        <f>Hoja2!#REF!</f>
        <v>#REF!</v>
      </c>
      <c r="C68" s="14" t="s">
        <v>259</v>
      </c>
      <c r="D68" s="86" t="s">
        <v>314</v>
      </c>
      <c r="E68" s="86" t="s">
        <v>315</v>
      </c>
      <c r="F68" s="86" t="s">
        <v>262</v>
      </c>
      <c r="G68" s="84" t="s">
        <v>263</v>
      </c>
      <c r="H68" s="89" t="s">
        <v>316</v>
      </c>
      <c r="I68" s="90">
        <v>46090</v>
      </c>
      <c r="J68" s="90">
        <v>46091</v>
      </c>
      <c r="K68" s="16" t="s">
        <v>265</v>
      </c>
      <c r="L68" s="13"/>
    </row>
    <row r="69" spans="2:12" x14ac:dyDescent="0.25">
      <c r="B69" s="16" t="e">
        <f>B68+1</f>
        <v>#REF!</v>
      </c>
      <c r="C69" s="14" t="s">
        <v>266</v>
      </c>
      <c r="D69" s="86"/>
      <c r="E69" s="86"/>
      <c r="F69" s="86"/>
      <c r="G69" s="84"/>
      <c r="H69" s="89"/>
      <c r="I69" s="90"/>
      <c r="J69" s="90"/>
      <c r="K69" s="16" t="s">
        <v>265</v>
      </c>
      <c r="L69" s="13"/>
    </row>
    <row r="70" spans="2:12" x14ac:dyDescent="0.25">
      <c r="B70" s="16" t="e">
        <f>B69+1</f>
        <v>#REF!</v>
      </c>
      <c r="C70" s="14" t="s">
        <v>269</v>
      </c>
      <c r="D70" s="86"/>
      <c r="E70" s="86"/>
      <c r="F70" s="86"/>
      <c r="G70" s="84"/>
      <c r="H70" s="91" t="s">
        <v>317</v>
      </c>
      <c r="I70" s="90">
        <v>46092</v>
      </c>
      <c r="J70" s="90">
        <v>46094</v>
      </c>
      <c r="K70" s="37" t="s">
        <v>156</v>
      </c>
      <c r="L70" s="13"/>
    </row>
    <row r="71" spans="2:12" x14ac:dyDescent="0.25">
      <c r="B71" s="16" t="e">
        <f>B70+1</f>
        <v>#REF!</v>
      </c>
      <c r="C71" s="14" t="s">
        <v>274</v>
      </c>
      <c r="D71" s="86"/>
      <c r="E71" s="86"/>
      <c r="F71" s="86"/>
      <c r="G71" s="84"/>
      <c r="H71" s="91"/>
      <c r="I71" s="90"/>
      <c r="J71" s="90"/>
      <c r="K71" s="37" t="s">
        <v>156</v>
      </c>
      <c r="L71" s="13"/>
    </row>
    <row r="72" spans="2:12" x14ac:dyDescent="0.25">
      <c r="B72" s="16" t="e">
        <f>B71+1</f>
        <v>#REF!</v>
      </c>
      <c r="C72" s="14" t="s">
        <v>277</v>
      </c>
      <c r="D72" s="86"/>
      <c r="E72" s="86"/>
      <c r="F72" s="86"/>
      <c r="G72" s="84"/>
      <c r="H72" s="91"/>
      <c r="I72" s="90"/>
      <c r="J72" s="90"/>
      <c r="K72" s="37" t="s">
        <v>156</v>
      </c>
      <c r="L72" s="13"/>
    </row>
    <row r="73" spans="2:12" x14ac:dyDescent="0.25">
      <c r="B73" s="5"/>
      <c r="D73" s="1"/>
      <c r="E73" s="1"/>
      <c r="F73" s="1"/>
      <c r="G73" s="2"/>
      <c r="H73" s="1"/>
      <c r="I73" s="3"/>
      <c r="J73" s="3"/>
      <c r="K73" s="3"/>
    </row>
    <row r="74" spans="2:12" x14ac:dyDescent="0.25">
      <c r="B74" s="5"/>
      <c r="D74" s="1"/>
      <c r="E74" s="1"/>
      <c r="F74" s="1"/>
      <c r="G74" s="2"/>
      <c r="H74" s="1"/>
      <c r="I74" s="3"/>
      <c r="J74" s="3"/>
      <c r="K74" s="3"/>
    </row>
    <row r="75" spans="2:12" x14ac:dyDescent="0.25">
      <c r="B75" s="85" t="e">
        <f>TEXT(Hoja2!#REF!,"d") &amp; " a " &amp; TEXT(Hoja2!#REF!,"d") &amp; " de " &amp; TEXT(Hoja2!#REF!,"mmmm")</f>
        <v>#REF!</v>
      </c>
      <c r="C75" s="85"/>
      <c r="D75" s="33" t="s">
        <v>251</v>
      </c>
      <c r="E75" s="33" t="s">
        <v>252</v>
      </c>
      <c r="F75" s="33" t="s">
        <v>253</v>
      </c>
      <c r="G75" s="33" t="s">
        <v>254</v>
      </c>
      <c r="H75" s="33" t="s">
        <v>255</v>
      </c>
      <c r="I75" s="34" t="s">
        <v>256</v>
      </c>
      <c r="J75" s="34" t="s">
        <v>257</v>
      </c>
      <c r="K75" s="33" t="s">
        <v>9</v>
      </c>
      <c r="L75" s="33" t="s">
        <v>258</v>
      </c>
    </row>
    <row r="76" spans="2:12" ht="14.45" customHeight="1" x14ac:dyDescent="0.25">
      <c r="B76" s="16" t="e">
        <f>Hoja2!#REF!</f>
        <v>#REF!</v>
      </c>
      <c r="C76" s="14" t="s">
        <v>259</v>
      </c>
      <c r="D76" s="86" t="s">
        <v>318</v>
      </c>
      <c r="E76" s="86" t="s">
        <v>319</v>
      </c>
      <c r="F76" s="86" t="s">
        <v>262</v>
      </c>
      <c r="G76" s="84" t="s">
        <v>263</v>
      </c>
      <c r="H76" s="23"/>
      <c r="I76" s="15"/>
      <c r="J76" s="15"/>
      <c r="K76" s="16"/>
      <c r="L76" s="13"/>
    </row>
    <row r="77" spans="2:12" x14ac:dyDescent="0.25">
      <c r="B77" s="16" t="e">
        <f>B76+1</f>
        <v>#REF!</v>
      </c>
      <c r="C77" s="14" t="s">
        <v>266</v>
      </c>
      <c r="D77" s="86"/>
      <c r="E77" s="86"/>
      <c r="F77" s="86"/>
      <c r="G77" s="84"/>
      <c r="H77" s="23"/>
      <c r="I77" s="15"/>
      <c r="J77" s="15"/>
      <c r="K77" s="16"/>
      <c r="L77" s="13"/>
    </row>
    <row r="78" spans="2:12" x14ac:dyDescent="0.25">
      <c r="B78" s="16" t="e">
        <f>B77+1</f>
        <v>#REF!</v>
      </c>
      <c r="C78" s="14" t="s">
        <v>269</v>
      </c>
      <c r="D78" s="86"/>
      <c r="E78" s="86"/>
      <c r="F78" s="86"/>
      <c r="G78" s="84"/>
      <c r="H78" s="23"/>
      <c r="I78" s="15"/>
      <c r="J78" s="15"/>
      <c r="K78" s="37"/>
      <c r="L78" s="13"/>
    </row>
    <row r="79" spans="2:12" x14ac:dyDescent="0.25">
      <c r="B79" s="16" t="e">
        <f>B78+1</f>
        <v>#REF!</v>
      </c>
      <c r="C79" s="14" t="s">
        <v>274</v>
      </c>
      <c r="D79" s="86"/>
      <c r="E79" s="86"/>
      <c r="F79" s="86"/>
      <c r="G79" s="84"/>
      <c r="H79" s="88" t="s">
        <v>320</v>
      </c>
      <c r="I79" s="90">
        <v>46093</v>
      </c>
      <c r="J79" s="90">
        <v>46094</v>
      </c>
      <c r="K79" s="37"/>
      <c r="L79" s="13" t="s">
        <v>321</v>
      </c>
    </row>
    <row r="80" spans="2:12" x14ac:dyDescent="0.25">
      <c r="B80" s="16" t="e">
        <f>B79+1</f>
        <v>#REF!</v>
      </c>
      <c r="C80" s="14" t="s">
        <v>277</v>
      </c>
      <c r="D80" s="86"/>
      <c r="E80" s="86"/>
      <c r="F80" s="86"/>
      <c r="G80" s="84"/>
      <c r="H80" s="88"/>
      <c r="I80" s="90"/>
      <c r="J80" s="90"/>
      <c r="K80" s="37"/>
      <c r="L80" s="13"/>
    </row>
    <row r="81" spans="2:12" x14ac:dyDescent="0.25">
      <c r="B81" s="5"/>
      <c r="D81" s="1"/>
      <c r="E81" s="1"/>
      <c r="F81" s="1"/>
      <c r="G81" s="2"/>
      <c r="H81" s="1"/>
      <c r="I81" s="3"/>
      <c r="J81" s="3"/>
      <c r="K81" s="3"/>
    </row>
    <row r="82" spans="2:12" x14ac:dyDescent="0.25">
      <c r="D82" s="1"/>
      <c r="E82" s="1"/>
      <c r="F82" s="1"/>
      <c r="G82" s="2"/>
      <c r="H82" s="1"/>
      <c r="I82" s="3"/>
      <c r="J82" s="3"/>
      <c r="K82" s="3"/>
    </row>
    <row r="83" spans="2:12" x14ac:dyDescent="0.25">
      <c r="B83" s="85" t="e">
        <f>TEXT(Hoja2!#REF!,"d") &amp; " a " &amp; TEXT(Hoja2!#REF!,"d") &amp; " de " &amp; TEXT(Hoja2!#REF!,"mmmm")</f>
        <v>#REF!</v>
      </c>
      <c r="C83" s="85"/>
      <c r="D83" s="33" t="s">
        <v>251</v>
      </c>
      <c r="E83" s="33" t="s">
        <v>252</v>
      </c>
      <c r="F83" s="33" t="s">
        <v>253</v>
      </c>
      <c r="G83" s="33" t="s">
        <v>254</v>
      </c>
      <c r="H83" s="33" t="s">
        <v>255</v>
      </c>
      <c r="I83" s="34" t="s">
        <v>256</v>
      </c>
      <c r="J83" s="34" t="s">
        <v>257</v>
      </c>
      <c r="K83" s="33" t="s">
        <v>9</v>
      </c>
      <c r="L83" s="33" t="s">
        <v>258</v>
      </c>
    </row>
    <row r="84" spans="2:12" ht="14.45" customHeight="1" x14ac:dyDescent="0.25">
      <c r="B84" s="16" t="e">
        <f>Hoja2!#REF!</f>
        <v>#REF!</v>
      </c>
      <c r="C84" s="14" t="s">
        <v>259</v>
      </c>
      <c r="D84" s="86" t="s">
        <v>322</v>
      </c>
      <c r="E84" s="86" t="s">
        <v>319</v>
      </c>
      <c r="F84" s="86" t="s">
        <v>262</v>
      </c>
      <c r="G84" s="84" t="s">
        <v>263</v>
      </c>
      <c r="H84" s="23"/>
      <c r="I84" s="15"/>
      <c r="J84" s="15"/>
      <c r="K84" s="16"/>
      <c r="L84" s="13"/>
    </row>
    <row r="85" spans="2:12" x14ac:dyDescent="0.25">
      <c r="B85" s="16" t="e">
        <f>B84+1</f>
        <v>#REF!</v>
      </c>
      <c r="C85" s="14" t="s">
        <v>266</v>
      </c>
      <c r="D85" s="86"/>
      <c r="E85" s="86"/>
      <c r="F85" s="86"/>
      <c r="G85" s="84"/>
      <c r="H85" s="23"/>
      <c r="I85" s="15"/>
      <c r="J85" s="15"/>
      <c r="K85" s="16"/>
      <c r="L85" s="13"/>
    </row>
    <row r="86" spans="2:12" x14ac:dyDescent="0.25">
      <c r="B86" s="16" t="e">
        <f>B85+1</f>
        <v>#REF!</v>
      </c>
      <c r="C86" s="14" t="s">
        <v>269</v>
      </c>
      <c r="D86" s="86"/>
      <c r="E86" s="86"/>
      <c r="F86" s="86"/>
      <c r="G86" s="84"/>
      <c r="H86" s="23" t="s">
        <v>323</v>
      </c>
      <c r="I86" s="15">
        <v>46092</v>
      </c>
      <c r="J86" s="15">
        <v>46092</v>
      </c>
      <c r="K86" s="37" t="s">
        <v>265</v>
      </c>
      <c r="L86" s="13"/>
    </row>
    <row r="87" spans="2:12" ht="30" x14ac:dyDescent="0.25">
      <c r="B87" s="16" t="e">
        <f>B86+1</f>
        <v>#REF!</v>
      </c>
      <c r="C87" s="14" t="s">
        <v>274</v>
      </c>
      <c r="D87" s="86"/>
      <c r="E87" s="86"/>
      <c r="F87" s="86"/>
      <c r="G87" s="84"/>
      <c r="H87" s="40" t="s">
        <v>324</v>
      </c>
      <c r="I87" s="15">
        <v>46093</v>
      </c>
      <c r="J87" s="15">
        <v>46093</v>
      </c>
      <c r="K87" s="37" t="s">
        <v>156</v>
      </c>
      <c r="L87" s="13"/>
    </row>
    <row r="88" spans="2:12" ht="45" x14ac:dyDescent="0.25">
      <c r="B88" s="16" t="e">
        <f>B87+1</f>
        <v>#REF!</v>
      </c>
      <c r="C88" s="14" t="s">
        <v>277</v>
      </c>
      <c r="D88" s="86"/>
      <c r="E88" s="86"/>
      <c r="F88" s="86"/>
      <c r="G88" s="84"/>
      <c r="H88" s="40" t="s">
        <v>325</v>
      </c>
      <c r="I88" s="15">
        <v>46094</v>
      </c>
      <c r="J88" s="15">
        <v>46094</v>
      </c>
      <c r="K88" s="37" t="s">
        <v>156</v>
      </c>
      <c r="L88" s="13"/>
    </row>
    <row r="89" spans="2:12" x14ac:dyDescent="0.25">
      <c r="B89" s="5"/>
      <c r="D89" s="1"/>
      <c r="E89" s="1"/>
      <c r="F89" s="1"/>
      <c r="G89" s="2"/>
      <c r="H89" s="1"/>
      <c r="I89" s="3"/>
      <c r="J89" s="3"/>
      <c r="K89" s="3"/>
    </row>
    <row r="90" spans="2:12" x14ac:dyDescent="0.25">
      <c r="D90" s="1"/>
      <c r="E90" s="1"/>
      <c r="F90" s="1"/>
      <c r="G90" s="2"/>
      <c r="H90" s="1"/>
      <c r="I90" s="3"/>
      <c r="J90" s="3"/>
      <c r="K90" s="3"/>
    </row>
    <row r="91" spans="2:12" x14ac:dyDescent="0.25">
      <c r="B91" s="85" t="e">
        <f>TEXT(Hoja2!#REF!,"d") &amp; " a " &amp; TEXT(Hoja2!#REF!,"d") &amp; " de " &amp; TEXT(Hoja2!#REF!,"mmmm")</f>
        <v>#REF!</v>
      </c>
      <c r="C91" s="85"/>
      <c r="D91" s="33" t="s">
        <v>251</v>
      </c>
      <c r="E91" s="33" t="s">
        <v>252</v>
      </c>
      <c r="F91" s="33" t="s">
        <v>253</v>
      </c>
      <c r="G91" s="33" t="s">
        <v>254</v>
      </c>
      <c r="H91" s="33" t="s">
        <v>255</v>
      </c>
      <c r="I91" s="34" t="s">
        <v>256</v>
      </c>
      <c r="J91" s="34" t="s">
        <v>257</v>
      </c>
      <c r="K91" s="33" t="s">
        <v>9</v>
      </c>
      <c r="L91" s="33" t="s">
        <v>258</v>
      </c>
    </row>
    <row r="92" spans="2:12" x14ac:dyDescent="0.25">
      <c r="B92" s="16" t="e">
        <f>Hoja2!#REF!</f>
        <v>#REF!</v>
      </c>
      <c r="C92" s="14" t="s">
        <v>259</v>
      </c>
      <c r="D92" s="87" t="s">
        <v>326</v>
      </c>
      <c r="E92" s="84" t="s">
        <v>327</v>
      </c>
      <c r="F92" s="84" t="s">
        <v>328</v>
      </c>
      <c r="G92" s="84" t="s">
        <v>329</v>
      </c>
      <c r="H92" s="84" t="s">
        <v>330</v>
      </c>
      <c r="I92" s="15"/>
      <c r="J92" s="15"/>
      <c r="K92" s="16"/>
      <c r="L92" s="13"/>
    </row>
    <row r="93" spans="2:12" x14ac:dyDescent="0.25">
      <c r="B93" s="16" t="e">
        <f>B92+1</f>
        <v>#REF!</v>
      </c>
      <c r="C93" s="14" t="s">
        <v>266</v>
      </c>
      <c r="D93" s="87"/>
      <c r="E93" s="84"/>
      <c r="F93" s="84"/>
      <c r="G93" s="84"/>
      <c r="H93" s="84"/>
      <c r="I93" s="15"/>
      <c r="J93" s="15"/>
      <c r="K93" s="16"/>
      <c r="L93" s="13"/>
    </row>
    <row r="94" spans="2:12" x14ac:dyDescent="0.25">
      <c r="B94" s="16" t="e">
        <f>B93+1</f>
        <v>#REF!</v>
      </c>
      <c r="C94" s="14" t="s">
        <v>269</v>
      </c>
      <c r="D94" s="87"/>
      <c r="E94" s="84"/>
      <c r="F94" s="84"/>
      <c r="G94" s="84"/>
      <c r="H94" s="84"/>
      <c r="I94" s="15"/>
      <c r="J94" s="15"/>
      <c r="K94" s="37"/>
      <c r="L94" s="13"/>
    </row>
    <row r="95" spans="2:12" x14ac:dyDescent="0.25">
      <c r="B95" s="16" t="e">
        <f>B94+1</f>
        <v>#REF!</v>
      </c>
      <c r="C95" s="14" t="s">
        <v>274</v>
      </c>
      <c r="D95" s="87"/>
      <c r="E95" s="84"/>
      <c r="F95" s="84"/>
      <c r="G95" s="84"/>
      <c r="H95" s="84"/>
      <c r="I95" s="15"/>
      <c r="J95" s="15"/>
      <c r="K95" s="37"/>
      <c r="L95" s="13"/>
    </row>
    <row r="96" spans="2:12" x14ac:dyDescent="0.25">
      <c r="B96" s="16" t="e">
        <f>B95+1</f>
        <v>#REF!</v>
      </c>
      <c r="C96" s="14" t="s">
        <v>277</v>
      </c>
      <c r="D96" s="87"/>
      <c r="E96" s="84"/>
      <c r="F96" s="84"/>
      <c r="G96" s="84"/>
      <c r="H96" s="84"/>
      <c r="I96" s="15"/>
      <c r="J96" s="15"/>
      <c r="K96" s="37"/>
      <c r="L96" s="13"/>
    </row>
    <row r="97" spans="2:12" x14ac:dyDescent="0.25">
      <c r="D97" s="1"/>
      <c r="E97" s="1"/>
      <c r="F97" s="1"/>
      <c r="G97" s="2"/>
      <c r="H97" s="1"/>
      <c r="I97" s="3"/>
      <c r="J97" s="3"/>
      <c r="K97" s="3"/>
    </row>
    <row r="99" spans="2:12" x14ac:dyDescent="0.25">
      <c r="B99" s="85" t="e">
        <f>TEXT(Hoja2!#REF!,"d") &amp; " a " &amp; TEXT(Hoja2!#REF!,"d") &amp; " de " &amp; TEXT(Hoja2!#REF!,"mmmm")</f>
        <v>#REF!</v>
      </c>
      <c r="C99" s="85"/>
      <c r="D99" s="33" t="s">
        <v>251</v>
      </c>
      <c r="E99" s="33" t="s">
        <v>252</v>
      </c>
      <c r="F99" s="33" t="s">
        <v>253</v>
      </c>
      <c r="G99" s="33" t="s">
        <v>254</v>
      </c>
      <c r="H99" s="33" t="s">
        <v>255</v>
      </c>
      <c r="I99" s="34" t="s">
        <v>256</v>
      </c>
      <c r="J99" s="34" t="s">
        <v>257</v>
      </c>
      <c r="K99" s="33" t="s">
        <v>9</v>
      </c>
      <c r="L99" s="33" t="s">
        <v>258</v>
      </c>
    </row>
    <row r="100" spans="2:12" x14ac:dyDescent="0.25">
      <c r="B100" s="16" t="e">
        <f>Hoja2!#REF!</f>
        <v>#REF!</v>
      </c>
      <c r="C100" s="14" t="s">
        <v>259</v>
      </c>
      <c r="D100" s="87" t="s">
        <v>331</v>
      </c>
      <c r="E100" s="86" t="s">
        <v>332</v>
      </c>
      <c r="F100" s="84" t="s">
        <v>328</v>
      </c>
      <c r="G100" s="84" t="s">
        <v>329</v>
      </c>
      <c r="H100" s="83" t="s">
        <v>333</v>
      </c>
      <c r="I100" s="15"/>
      <c r="J100" s="15"/>
      <c r="K100" s="16"/>
      <c r="L100" s="13"/>
    </row>
    <row r="101" spans="2:12" x14ac:dyDescent="0.25">
      <c r="B101" s="16" t="e">
        <f>B100+1</f>
        <v>#REF!</v>
      </c>
      <c r="C101" s="14" t="s">
        <v>266</v>
      </c>
      <c r="D101" s="87"/>
      <c r="E101" s="86"/>
      <c r="F101" s="84"/>
      <c r="G101" s="84"/>
      <c r="H101" s="84"/>
      <c r="I101" s="15"/>
      <c r="J101" s="15"/>
      <c r="K101" s="16"/>
      <c r="L101" s="13"/>
    </row>
    <row r="102" spans="2:12" x14ac:dyDescent="0.25">
      <c r="B102" s="16" t="e">
        <f>B101+1</f>
        <v>#REF!</v>
      </c>
      <c r="C102" s="14" t="s">
        <v>269</v>
      </c>
      <c r="D102" s="87"/>
      <c r="E102" s="86"/>
      <c r="F102" s="84"/>
      <c r="G102" s="84"/>
      <c r="H102" s="84"/>
      <c r="I102" s="15"/>
      <c r="J102" s="15"/>
      <c r="K102" s="37"/>
      <c r="L102" s="13"/>
    </row>
    <row r="103" spans="2:12" x14ac:dyDescent="0.25">
      <c r="B103" s="16" t="e">
        <f>B102+1</f>
        <v>#REF!</v>
      </c>
      <c r="C103" s="14" t="s">
        <v>274</v>
      </c>
      <c r="D103" s="87"/>
      <c r="E103" s="86"/>
      <c r="F103" s="84"/>
      <c r="G103" s="84"/>
      <c r="H103" s="84"/>
      <c r="I103" s="15"/>
      <c r="J103" s="15"/>
      <c r="K103" s="37"/>
      <c r="L103" s="13"/>
    </row>
    <row r="104" spans="2:12" x14ac:dyDescent="0.25">
      <c r="B104" s="16" t="e">
        <f>B103+1</f>
        <v>#REF!</v>
      </c>
      <c r="C104" s="14" t="s">
        <v>277</v>
      </c>
      <c r="D104" s="87"/>
      <c r="E104" s="86"/>
      <c r="F104" s="84"/>
      <c r="G104" s="84"/>
      <c r="H104" s="84"/>
      <c r="I104" s="15"/>
      <c r="J104" s="15"/>
      <c r="K104" s="37"/>
      <c r="L104" s="13"/>
    </row>
  </sheetData>
  <mergeCells count="87">
    <mergeCell ref="B59:C59"/>
    <mergeCell ref="B75:C75"/>
    <mergeCell ref="B67:C67"/>
    <mergeCell ref="J12:J16"/>
    <mergeCell ref="B27:C27"/>
    <mergeCell ref="B35:C35"/>
    <mergeCell ref="B43:C43"/>
    <mergeCell ref="B51:C51"/>
    <mergeCell ref="F20:F24"/>
    <mergeCell ref="G20:G24"/>
    <mergeCell ref="H20:H21"/>
    <mergeCell ref="J20:J21"/>
    <mergeCell ref="D44:D48"/>
    <mergeCell ref="E44:E48"/>
    <mergeCell ref="F44:F48"/>
    <mergeCell ref="G44:G48"/>
    <mergeCell ref="G4:G8"/>
    <mergeCell ref="D12:D16"/>
    <mergeCell ref="E12:E16"/>
    <mergeCell ref="F6:F8"/>
    <mergeCell ref="I12:I16"/>
    <mergeCell ref="F12:F16"/>
    <mergeCell ref="G12:G16"/>
    <mergeCell ref="B3:C3"/>
    <mergeCell ref="B11:C11"/>
    <mergeCell ref="B19:C19"/>
    <mergeCell ref="D4:D8"/>
    <mergeCell ref="E4:E8"/>
    <mergeCell ref="K20:K21"/>
    <mergeCell ref="L20:L21"/>
    <mergeCell ref="H22:H24"/>
    <mergeCell ref="I22:I24"/>
    <mergeCell ref="J22:J24"/>
    <mergeCell ref="I20:I21"/>
    <mergeCell ref="D28:D32"/>
    <mergeCell ref="E28:E32"/>
    <mergeCell ref="D36:D40"/>
    <mergeCell ref="E36:E40"/>
    <mergeCell ref="D20:D24"/>
    <mergeCell ref="E20:E24"/>
    <mergeCell ref="F36:F40"/>
    <mergeCell ref="G36:G40"/>
    <mergeCell ref="F28:F32"/>
    <mergeCell ref="G28:G32"/>
    <mergeCell ref="D68:D72"/>
    <mergeCell ref="E68:E72"/>
    <mergeCell ref="F68:F72"/>
    <mergeCell ref="G68:G72"/>
    <mergeCell ref="F52:F56"/>
    <mergeCell ref="G52:G56"/>
    <mergeCell ref="D60:D64"/>
    <mergeCell ref="E60:E64"/>
    <mergeCell ref="F60:F64"/>
    <mergeCell ref="G60:G64"/>
    <mergeCell ref="D52:D56"/>
    <mergeCell ref="E52:E56"/>
    <mergeCell ref="I68:I69"/>
    <mergeCell ref="J68:J69"/>
    <mergeCell ref="H70:H72"/>
    <mergeCell ref="I70:I72"/>
    <mergeCell ref="J70:J72"/>
    <mergeCell ref="I79:I80"/>
    <mergeCell ref="J79:J80"/>
    <mergeCell ref="B91:C91"/>
    <mergeCell ref="D92:D96"/>
    <mergeCell ref="E92:E96"/>
    <mergeCell ref="F92:F96"/>
    <mergeCell ref="G92:G96"/>
    <mergeCell ref="H92:H96"/>
    <mergeCell ref="D76:D80"/>
    <mergeCell ref="E76:E80"/>
    <mergeCell ref="F76:F80"/>
    <mergeCell ref="G76:G80"/>
    <mergeCell ref="H60:H61"/>
    <mergeCell ref="H100:H104"/>
    <mergeCell ref="B83:C83"/>
    <mergeCell ref="D84:D88"/>
    <mergeCell ref="E84:E88"/>
    <mergeCell ref="F84:F88"/>
    <mergeCell ref="G84:G88"/>
    <mergeCell ref="B99:C99"/>
    <mergeCell ref="D100:D104"/>
    <mergeCell ref="E100:E104"/>
    <mergeCell ref="F100:F104"/>
    <mergeCell ref="G100:G104"/>
    <mergeCell ref="H79:H80"/>
    <mergeCell ref="H68:H69"/>
  </mergeCells>
  <phoneticPr fontId="2" type="noConversion"/>
  <dataValidations disablePrompts="1" count="1">
    <dataValidation type="list" allowBlank="1" showInputMessage="1" showErrorMessage="1" sqref="K4:K8 K12:K16 K76:K80 K28:K32 K36:K40 K44:K48 K52:K56 K60:K64 K92:K96 K100:K104 K68:K72 K20 K22:K24 K84:K88" xr:uid="{F46E6A79-667D-4BC6-AC9A-05831667F462}">
      <formula1>"Finalizada, En proceso, Pausada, Reproceso"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C5A0-D580-468D-A32B-BA2461F88C1D}">
  <sheetPr codeName="Hoja6"/>
  <dimension ref="B3:L104"/>
  <sheetViews>
    <sheetView topLeftCell="A71" zoomScale="70" zoomScaleNormal="70" workbookViewId="0">
      <selection activeCell="F44" sqref="F44:F48"/>
    </sheetView>
  </sheetViews>
  <sheetFormatPr baseColWidth="10" defaultColWidth="11.42578125" defaultRowHeight="15" x14ac:dyDescent="0.25"/>
  <cols>
    <col min="2" max="3" width="11.5703125" style="4"/>
    <col min="4" max="4" width="25.140625" customWidth="1"/>
    <col min="5" max="5" width="20.28515625" bestFit="1" customWidth="1"/>
    <col min="6" max="6" width="34.7109375" style="4" customWidth="1"/>
    <col min="7" max="7" width="16.28515625" customWidth="1"/>
    <col min="8" max="8" width="59.28515625" bestFit="1" customWidth="1"/>
    <col min="9" max="9" width="14.5703125" style="1" bestFit="1" customWidth="1"/>
    <col min="10" max="10" width="12.28515625" style="1" customWidth="1"/>
    <col min="11" max="11" width="10.7109375" customWidth="1"/>
    <col min="12" max="12" width="64" bestFit="1" customWidth="1"/>
  </cols>
  <sheetData>
    <row r="3" spans="2:12" x14ac:dyDescent="0.25">
      <c r="B3" s="85" t="e">
        <f>TEXT(Hoja2!#REF!,"d") &amp; " a " &amp; TEXT(Hoja2!#REF!,"d") &amp; " de " &amp; TEXT(Hoja2!#REF!,"mmmm")</f>
        <v>#REF!</v>
      </c>
      <c r="C3" s="85"/>
      <c r="D3" s="33" t="s">
        <v>251</v>
      </c>
      <c r="E3" s="33" t="s">
        <v>252</v>
      </c>
      <c r="F3" s="33" t="s">
        <v>253</v>
      </c>
      <c r="G3" s="33" t="s">
        <v>254</v>
      </c>
      <c r="H3" s="33" t="s">
        <v>255</v>
      </c>
      <c r="I3" s="34" t="s">
        <v>256</v>
      </c>
      <c r="J3" s="34" t="s">
        <v>257</v>
      </c>
      <c r="K3" s="33" t="s">
        <v>9</v>
      </c>
      <c r="L3" s="33" t="s">
        <v>258</v>
      </c>
    </row>
    <row r="4" spans="2:12" ht="14.45" customHeight="1" x14ac:dyDescent="0.25">
      <c r="B4" s="16" t="e">
        <f>Hoja2!#REF!</f>
        <v>#REF!</v>
      </c>
      <c r="C4" s="14" t="s">
        <v>259</v>
      </c>
      <c r="D4" s="86" t="s">
        <v>260</v>
      </c>
      <c r="E4" s="86" t="s">
        <v>261</v>
      </c>
      <c r="F4" s="24" t="s">
        <v>270</v>
      </c>
      <c r="G4" s="86" t="s">
        <v>263</v>
      </c>
      <c r="H4" s="37" t="s">
        <v>278</v>
      </c>
      <c r="I4" s="15">
        <v>46097</v>
      </c>
      <c r="J4" s="15">
        <v>46097</v>
      </c>
      <c r="K4" s="16"/>
      <c r="L4" s="13"/>
    </row>
    <row r="5" spans="2:12" ht="14.45" customHeight="1" x14ac:dyDescent="0.25">
      <c r="B5" s="16" t="e">
        <f>B4+1</f>
        <v>#REF!</v>
      </c>
      <c r="C5" s="14" t="s">
        <v>266</v>
      </c>
      <c r="D5" s="86"/>
      <c r="E5" s="86"/>
      <c r="F5" s="24" t="s">
        <v>270</v>
      </c>
      <c r="G5" s="86"/>
      <c r="H5" s="13" t="s">
        <v>334</v>
      </c>
      <c r="I5" s="15">
        <v>46097</v>
      </c>
      <c r="J5" s="15">
        <v>46099</v>
      </c>
      <c r="K5" s="16"/>
      <c r="L5" s="13"/>
    </row>
    <row r="6" spans="2:12" ht="14.45" customHeight="1" x14ac:dyDescent="0.25">
      <c r="B6" s="16" t="e">
        <f>B5+1</f>
        <v>#REF!</v>
      </c>
      <c r="C6" s="14" t="s">
        <v>269</v>
      </c>
      <c r="D6" s="86"/>
      <c r="E6" s="86"/>
      <c r="F6" s="24" t="s">
        <v>270</v>
      </c>
      <c r="G6" s="86"/>
      <c r="H6" s="36" t="s">
        <v>271</v>
      </c>
      <c r="I6" s="15">
        <v>46099</v>
      </c>
      <c r="J6" s="15">
        <v>46100</v>
      </c>
      <c r="K6" s="37"/>
      <c r="L6" s="13"/>
    </row>
    <row r="7" spans="2:12" ht="14.45" customHeight="1" x14ac:dyDescent="0.25">
      <c r="B7" s="16" t="e">
        <f>B6+1</f>
        <v>#REF!</v>
      </c>
      <c r="C7" s="14" t="s">
        <v>274</v>
      </c>
      <c r="D7" s="86"/>
      <c r="E7" s="86"/>
      <c r="F7" s="24"/>
      <c r="G7" s="86"/>
      <c r="H7" s="38" t="s">
        <v>335</v>
      </c>
      <c r="I7" s="15">
        <v>46100</v>
      </c>
      <c r="J7" s="15">
        <v>46101</v>
      </c>
      <c r="K7" s="37"/>
      <c r="L7" s="13"/>
    </row>
    <row r="8" spans="2:12" ht="14.45" customHeight="1" x14ac:dyDescent="0.25">
      <c r="B8" s="16" t="e">
        <f>B7+1</f>
        <v>#REF!</v>
      </c>
      <c r="C8" s="14" t="s">
        <v>277</v>
      </c>
      <c r="D8" s="86"/>
      <c r="E8" s="86"/>
      <c r="F8" s="24"/>
      <c r="G8" s="86"/>
      <c r="H8" s="37"/>
      <c r="I8" s="15"/>
      <c r="J8" s="15"/>
      <c r="K8" s="37"/>
      <c r="L8" s="13"/>
    </row>
    <row r="11" spans="2:12" x14ac:dyDescent="0.25">
      <c r="B11" s="85" t="e">
        <f>TEXT(Hoja2!#REF!,"d") &amp; " a " &amp; TEXT(Hoja2!#REF!,"d") &amp; " de " &amp; TEXT(Hoja2!#REF!,"mmmm")</f>
        <v>#REF!</v>
      </c>
      <c r="C11" s="85"/>
      <c r="D11" s="33" t="s">
        <v>251</v>
      </c>
      <c r="E11" s="33" t="s">
        <v>252</v>
      </c>
      <c r="F11" s="33" t="s">
        <v>253</v>
      </c>
      <c r="G11" s="33" t="s">
        <v>254</v>
      </c>
      <c r="H11" s="33" t="s">
        <v>255</v>
      </c>
      <c r="I11" s="34" t="s">
        <v>256</v>
      </c>
      <c r="J11" s="34" t="s">
        <v>257</v>
      </c>
      <c r="K11" s="33" t="s">
        <v>9</v>
      </c>
      <c r="L11" s="33" t="s">
        <v>258</v>
      </c>
    </row>
    <row r="12" spans="2:12" x14ac:dyDescent="0.25">
      <c r="B12" s="16" t="e">
        <f>Hoja2!#REF!</f>
        <v>#REF!</v>
      </c>
      <c r="C12" s="14" t="s">
        <v>259</v>
      </c>
      <c r="D12" s="86" t="s">
        <v>280</v>
      </c>
      <c r="E12" s="86" t="s">
        <v>261</v>
      </c>
      <c r="F12" s="86" t="s">
        <v>270</v>
      </c>
      <c r="G12" s="86" t="s">
        <v>263</v>
      </c>
      <c r="H12" s="13" t="s">
        <v>285</v>
      </c>
      <c r="I12" s="41"/>
      <c r="J12" s="41"/>
      <c r="K12" s="16"/>
      <c r="L12" s="13"/>
    </row>
    <row r="13" spans="2:12" x14ac:dyDescent="0.25">
      <c r="B13" s="16" t="e">
        <f>B12+1</f>
        <v>#REF!</v>
      </c>
      <c r="C13" s="14" t="s">
        <v>266</v>
      </c>
      <c r="D13" s="86"/>
      <c r="E13" s="86"/>
      <c r="F13" s="86"/>
      <c r="G13" s="86"/>
      <c r="H13" s="13" t="s">
        <v>286</v>
      </c>
      <c r="I13" s="41"/>
      <c r="J13" s="41"/>
      <c r="K13" s="16"/>
      <c r="L13" s="13"/>
    </row>
    <row r="14" spans="2:12" x14ac:dyDescent="0.25">
      <c r="B14" s="16" t="e">
        <f>B13+1</f>
        <v>#REF!</v>
      </c>
      <c r="C14" s="14" t="s">
        <v>269</v>
      </c>
      <c r="D14" s="86"/>
      <c r="E14" s="86"/>
      <c r="F14" s="86"/>
      <c r="G14" s="86"/>
      <c r="H14" s="13"/>
      <c r="I14" s="41"/>
      <c r="J14" s="41"/>
      <c r="K14" s="37"/>
      <c r="L14" s="13"/>
    </row>
    <row r="15" spans="2:12" x14ac:dyDescent="0.25">
      <c r="B15" s="16" t="e">
        <f>B14+1</f>
        <v>#REF!</v>
      </c>
      <c r="C15" s="14" t="s">
        <v>274</v>
      </c>
      <c r="D15" s="86"/>
      <c r="E15" s="86"/>
      <c r="F15" s="86"/>
      <c r="G15" s="86"/>
      <c r="H15" s="13"/>
      <c r="I15" s="41"/>
      <c r="J15" s="41"/>
      <c r="K15" s="37"/>
      <c r="L15" s="13"/>
    </row>
    <row r="16" spans="2:12" x14ac:dyDescent="0.25">
      <c r="B16" s="16" t="e">
        <f>B15+1</f>
        <v>#REF!</v>
      </c>
      <c r="C16" s="14" t="s">
        <v>277</v>
      </c>
      <c r="D16" s="86"/>
      <c r="E16" s="86"/>
      <c r="F16" s="86"/>
      <c r="G16" s="86"/>
      <c r="H16" s="13"/>
      <c r="I16" s="41"/>
      <c r="J16" s="41"/>
      <c r="K16" s="37"/>
      <c r="L16" s="13"/>
    </row>
    <row r="19" spans="2:12" x14ac:dyDescent="0.25">
      <c r="B19" s="85" t="e">
        <f>TEXT(Hoja2!#REF!,"d") &amp; " a " &amp; TEXT(Hoja2!#REF!,"d") &amp; " de " &amp; TEXT(Hoja2!#REF!,"mmmm")</f>
        <v>#REF!</v>
      </c>
      <c r="C19" s="85"/>
      <c r="D19" s="33" t="s">
        <v>251</v>
      </c>
      <c r="E19" s="33" t="s">
        <v>252</v>
      </c>
      <c r="F19" s="33" t="s">
        <v>253</v>
      </c>
      <c r="G19" s="33" t="s">
        <v>254</v>
      </c>
      <c r="H19" s="33" t="s">
        <v>255</v>
      </c>
      <c r="I19" s="34" t="s">
        <v>256</v>
      </c>
      <c r="J19" s="34" t="s">
        <v>257</v>
      </c>
      <c r="K19" s="33" t="s">
        <v>9</v>
      </c>
      <c r="L19" s="33" t="s">
        <v>258</v>
      </c>
    </row>
    <row r="20" spans="2:12" x14ac:dyDescent="0.25">
      <c r="B20" s="16" t="e">
        <f>Hoja2!#REF!</f>
        <v>#REF!</v>
      </c>
      <c r="C20" s="14" t="s">
        <v>259</v>
      </c>
      <c r="D20" s="86" t="s">
        <v>287</v>
      </c>
      <c r="E20" s="86" t="s">
        <v>288</v>
      </c>
      <c r="F20" s="24" t="s">
        <v>336</v>
      </c>
      <c r="G20" s="24" t="s">
        <v>297</v>
      </c>
      <c r="H20" s="24" t="s">
        <v>337</v>
      </c>
      <c r="I20" s="15">
        <v>46097</v>
      </c>
      <c r="J20" s="15">
        <v>46097</v>
      </c>
      <c r="K20" s="41"/>
      <c r="L20" s="42"/>
    </row>
    <row r="21" spans="2:12" x14ac:dyDescent="0.25">
      <c r="B21" s="16" t="e">
        <f>B20+1</f>
        <v>#REF!</v>
      </c>
      <c r="C21" s="14" t="s">
        <v>266</v>
      </c>
      <c r="D21" s="86"/>
      <c r="E21" s="86"/>
      <c r="F21" s="97" t="s">
        <v>270</v>
      </c>
      <c r="G21" s="97" t="s">
        <v>263</v>
      </c>
      <c r="H21" s="102" t="s">
        <v>338</v>
      </c>
      <c r="I21" s="100">
        <v>46098</v>
      </c>
      <c r="J21" s="100">
        <v>46099</v>
      </c>
      <c r="K21" s="41"/>
      <c r="L21" s="42"/>
    </row>
    <row r="22" spans="2:12" ht="14.45" customHeight="1" x14ac:dyDescent="0.25">
      <c r="B22" s="16" t="e">
        <f>B21+1</f>
        <v>#REF!</v>
      </c>
      <c r="C22" s="14" t="s">
        <v>269</v>
      </c>
      <c r="D22" s="86"/>
      <c r="E22" s="86"/>
      <c r="F22" s="98"/>
      <c r="G22" s="98"/>
      <c r="H22" s="103"/>
      <c r="I22" s="101"/>
      <c r="J22" s="101"/>
      <c r="K22" s="37"/>
      <c r="L22" s="13"/>
    </row>
    <row r="23" spans="2:12" x14ac:dyDescent="0.25">
      <c r="B23" s="16" t="e">
        <f>B22+1</f>
        <v>#REF!</v>
      </c>
      <c r="C23" s="14" t="s">
        <v>274</v>
      </c>
      <c r="D23" s="86"/>
      <c r="E23" s="86"/>
      <c r="F23" s="98"/>
      <c r="G23" s="98"/>
      <c r="H23" s="102" t="s">
        <v>339</v>
      </c>
      <c r="I23" s="100">
        <v>46100</v>
      </c>
      <c r="J23" s="100">
        <v>46101</v>
      </c>
      <c r="K23" s="37"/>
      <c r="L23" s="13"/>
    </row>
    <row r="24" spans="2:12" ht="14.45" customHeight="1" x14ac:dyDescent="0.25">
      <c r="B24" s="16" t="e">
        <f>B23+1</f>
        <v>#REF!</v>
      </c>
      <c r="C24" s="14" t="s">
        <v>277</v>
      </c>
      <c r="D24" s="86"/>
      <c r="E24" s="86"/>
      <c r="F24" s="99"/>
      <c r="G24" s="99"/>
      <c r="H24" s="103"/>
      <c r="I24" s="101"/>
      <c r="J24" s="101"/>
      <c r="K24" s="37"/>
      <c r="L24" s="13"/>
    </row>
    <row r="27" spans="2:12" x14ac:dyDescent="0.25">
      <c r="B27" s="85" t="e">
        <f>TEXT(Hoja2!#REF!,"d") &amp; " a " &amp; TEXT(Hoja2!#REF!,"d") &amp; " de " &amp; TEXT(Hoja2!#REF!,"mmmm")</f>
        <v>#REF!</v>
      </c>
      <c r="C27" s="85"/>
      <c r="D27" s="33" t="s">
        <v>251</v>
      </c>
      <c r="E27" s="33" t="s">
        <v>252</v>
      </c>
      <c r="F27" s="33" t="s">
        <v>253</v>
      </c>
      <c r="G27" s="33" t="s">
        <v>254</v>
      </c>
      <c r="H27" s="33" t="s">
        <v>255</v>
      </c>
      <c r="I27" s="34" t="s">
        <v>256</v>
      </c>
      <c r="J27" s="34" t="s">
        <v>257</v>
      </c>
      <c r="K27" s="33" t="s">
        <v>9</v>
      </c>
      <c r="L27" s="33" t="s">
        <v>258</v>
      </c>
    </row>
    <row r="28" spans="2:12" ht="14.45" customHeight="1" x14ac:dyDescent="0.25">
      <c r="B28" s="44" t="e">
        <f>Hoja2!#REF!</f>
        <v>#REF!</v>
      </c>
      <c r="C28" s="45" t="s">
        <v>259</v>
      </c>
      <c r="D28" s="86" t="s">
        <v>291</v>
      </c>
      <c r="E28" s="86" t="s">
        <v>288</v>
      </c>
      <c r="F28" s="86" t="s">
        <v>292</v>
      </c>
      <c r="G28" s="86" t="s">
        <v>340</v>
      </c>
      <c r="H28" s="24" t="s">
        <v>294</v>
      </c>
      <c r="I28" s="100">
        <v>46097</v>
      </c>
      <c r="J28" s="100">
        <v>46101</v>
      </c>
      <c r="K28" s="16"/>
      <c r="L28" s="13"/>
    </row>
    <row r="29" spans="2:12" ht="14.45" customHeight="1" x14ac:dyDescent="0.25">
      <c r="B29" s="16" t="e">
        <f>B28+1</f>
        <v>#REF!</v>
      </c>
      <c r="C29" s="14" t="s">
        <v>266</v>
      </c>
      <c r="D29" s="86"/>
      <c r="E29" s="86"/>
      <c r="F29" s="86"/>
      <c r="G29" s="86"/>
      <c r="H29" s="24" t="s">
        <v>294</v>
      </c>
      <c r="I29" s="105"/>
      <c r="J29" s="105"/>
      <c r="K29" s="16"/>
      <c r="L29" s="13"/>
    </row>
    <row r="30" spans="2:12" ht="14.45" customHeight="1" x14ac:dyDescent="0.25">
      <c r="B30" s="16" t="e">
        <f>B29+1</f>
        <v>#REF!</v>
      </c>
      <c r="C30" s="14" t="s">
        <v>269</v>
      </c>
      <c r="D30" s="86"/>
      <c r="E30" s="86"/>
      <c r="F30" s="86"/>
      <c r="G30" s="86"/>
      <c r="H30" s="24" t="s">
        <v>294</v>
      </c>
      <c r="I30" s="105"/>
      <c r="J30" s="105"/>
      <c r="K30" s="37"/>
      <c r="L30" s="13"/>
    </row>
    <row r="31" spans="2:12" ht="14.45" customHeight="1" x14ac:dyDescent="0.25">
      <c r="B31" s="16" t="e">
        <f>B30+1</f>
        <v>#REF!</v>
      </c>
      <c r="C31" s="14" t="s">
        <v>274</v>
      </c>
      <c r="D31" s="86"/>
      <c r="E31" s="86"/>
      <c r="F31" s="86"/>
      <c r="G31" s="86"/>
      <c r="H31" s="24" t="s">
        <v>294</v>
      </c>
      <c r="I31" s="105"/>
      <c r="J31" s="105"/>
      <c r="K31" s="37"/>
      <c r="L31" s="13"/>
    </row>
    <row r="32" spans="2:12" ht="14.45" customHeight="1" x14ac:dyDescent="0.25">
      <c r="B32" s="16" t="e">
        <f>B31+1</f>
        <v>#REF!</v>
      </c>
      <c r="C32" s="14" t="s">
        <v>277</v>
      </c>
      <c r="D32" s="86"/>
      <c r="E32" s="86"/>
      <c r="F32" s="86"/>
      <c r="G32" s="86"/>
      <c r="H32" s="24" t="s">
        <v>294</v>
      </c>
      <c r="I32" s="101"/>
      <c r="J32" s="101"/>
      <c r="K32" s="37"/>
      <c r="L32" s="13"/>
    </row>
    <row r="35" spans="2:12" x14ac:dyDescent="0.25">
      <c r="B35" s="85" t="e">
        <f>TEXT(Hoja2!#REF!,"d") &amp; " a " &amp; TEXT(Hoja2!#REF!,"d") &amp; " de " &amp; TEXT(Hoja2!#REF!,"mmmm")</f>
        <v>#REF!</v>
      </c>
      <c r="C35" s="85"/>
      <c r="D35" s="33" t="s">
        <v>251</v>
      </c>
      <c r="E35" s="33" t="s">
        <v>252</v>
      </c>
      <c r="F35" s="33" t="s">
        <v>253</v>
      </c>
      <c r="G35" s="33" t="s">
        <v>254</v>
      </c>
      <c r="H35" s="33" t="s">
        <v>255</v>
      </c>
      <c r="I35" s="34" t="s">
        <v>256</v>
      </c>
      <c r="J35" s="34" t="s">
        <v>257</v>
      </c>
      <c r="K35" s="33" t="s">
        <v>9</v>
      </c>
      <c r="L35" s="33" t="s">
        <v>258</v>
      </c>
    </row>
    <row r="36" spans="2:12" x14ac:dyDescent="0.25">
      <c r="B36" s="16" t="e">
        <f>Hoja2!#REF!</f>
        <v>#REF!</v>
      </c>
      <c r="C36" s="14" t="s">
        <v>259</v>
      </c>
      <c r="D36" s="86" t="s">
        <v>295</v>
      </c>
      <c r="E36" s="86" t="s">
        <v>288</v>
      </c>
      <c r="F36" s="84" t="s">
        <v>296</v>
      </c>
      <c r="G36" s="86" t="s">
        <v>297</v>
      </c>
      <c r="H36" s="36" t="s">
        <v>341</v>
      </c>
      <c r="I36" s="15">
        <v>46097</v>
      </c>
      <c r="J36" s="15"/>
      <c r="K36" s="16"/>
      <c r="L36" s="13"/>
    </row>
    <row r="37" spans="2:12" x14ac:dyDescent="0.25">
      <c r="B37" s="16" t="e">
        <f>B36+1</f>
        <v>#REF!</v>
      </c>
      <c r="C37" s="14" t="s">
        <v>266</v>
      </c>
      <c r="D37" s="86"/>
      <c r="E37" s="86"/>
      <c r="F37" s="84"/>
      <c r="G37" s="86"/>
      <c r="H37" s="36"/>
      <c r="I37" s="15"/>
      <c r="J37" s="15"/>
      <c r="K37" s="16"/>
      <c r="L37" s="13"/>
    </row>
    <row r="38" spans="2:12" x14ac:dyDescent="0.25">
      <c r="B38" s="16" t="e">
        <f>B37+1</f>
        <v>#REF!</v>
      </c>
      <c r="C38" s="14" t="s">
        <v>269</v>
      </c>
      <c r="D38" s="86"/>
      <c r="E38" s="86"/>
      <c r="F38" s="84"/>
      <c r="G38" s="86"/>
      <c r="H38" s="13"/>
      <c r="I38" s="15"/>
      <c r="J38" s="15"/>
      <c r="K38" s="37"/>
      <c r="L38" s="13"/>
    </row>
    <row r="39" spans="2:12" x14ac:dyDescent="0.25">
      <c r="B39" s="16" t="e">
        <f>B38+1</f>
        <v>#REF!</v>
      </c>
      <c r="C39" s="14" t="s">
        <v>274</v>
      </c>
      <c r="D39" s="86"/>
      <c r="E39" s="86"/>
      <c r="F39" s="84"/>
      <c r="G39" s="86"/>
      <c r="H39" s="13"/>
      <c r="I39" s="15"/>
      <c r="J39" s="15"/>
      <c r="K39" s="37"/>
      <c r="L39" s="13"/>
    </row>
    <row r="40" spans="2:12" x14ac:dyDescent="0.25">
      <c r="B40" s="16" t="e">
        <f>B39+1</f>
        <v>#REF!</v>
      </c>
      <c r="C40" s="14" t="s">
        <v>277</v>
      </c>
      <c r="D40" s="86"/>
      <c r="E40" s="86"/>
      <c r="F40" s="84"/>
      <c r="G40" s="86"/>
      <c r="H40" s="13"/>
      <c r="I40" s="15"/>
      <c r="J40" s="15"/>
      <c r="K40" s="37"/>
      <c r="L40" s="13"/>
    </row>
    <row r="43" spans="2:12" x14ac:dyDescent="0.25">
      <c r="B43" s="85" t="e">
        <f>TEXT(Hoja2!#REF!,"d") &amp; " a " &amp; TEXT(Hoja2!#REF!,"d") &amp; " de " &amp; TEXT(Hoja2!#REF!,"mmmm")</f>
        <v>#REF!</v>
      </c>
      <c r="C43" s="85"/>
      <c r="D43" s="33" t="s">
        <v>251</v>
      </c>
      <c r="E43" s="33" t="s">
        <v>252</v>
      </c>
      <c r="F43" s="33" t="s">
        <v>253</v>
      </c>
      <c r="G43" s="33" t="s">
        <v>254</v>
      </c>
      <c r="H43" s="33" t="s">
        <v>255</v>
      </c>
      <c r="I43" s="34" t="s">
        <v>256</v>
      </c>
      <c r="J43" s="34" t="s">
        <v>257</v>
      </c>
      <c r="K43" s="33" t="s">
        <v>9</v>
      </c>
      <c r="L43" s="33" t="s">
        <v>258</v>
      </c>
    </row>
    <row r="44" spans="2:12" x14ac:dyDescent="0.25">
      <c r="B44" s="16" t="e">
        <f>Hoja2!#REF!</f>
        <v>#REF!</v>
      </c>
      <c r="C44" s="14" t="s">
        <v>259</v>
      </c>
      <c r="D44" s="87" t="s">
        <v>301</v>
      </c>
      <c r="E44" s="86" t="s">
        <v>302</v>
      </c>
      <c r="F44" s="84" t="s">
        <v>342</v>
      </c>
      <c r="G44" s="84" t="s">
        <v>263</v>
      </c>
      <c r="H44" s="36" t="s">
        <v>343</v>
      </c>
      <c r="I44" s="15">
        <v>46097</v>
      </c>
      <c r="J44" s="15">
        <v>46098</v>
      </c>
      <c r="K44" s="16" t="s">
        <v>156</v>
      </c>
      <c r="L44" s="13"/>
    </row>
    <row r="45" spans="2:12" x14ac:dyDescent="0.25">
      <c r="B45" s="16" t="e">
        <f>B44+1</f>
        <v>#REF!</v>
      </c>
      <c r="C45" s="14" t="s">
        <v>266</v>
      </c>
      <c r="D45" s="87"/>
      <c r="E45" s="86"/>
      <c r="F45" s="84"/>
      <c r="G45" s="84"/>
      <c r="H45" s="36" t="s">
        <v>343</v>
      </c>
      <c r="I45" s="15">
        <v>46098</v>
      </c>
      <c r="J45" s="15">
        <v>46099</v>
      </c>
      <c r="K45" s="16"/>
      <c r="L45" s="13"/>
    </row>
    <row r="46" spans="2:12" x14ac:dyDescent="0.25">
      <c r="B46" s="16" t="e">
        <f>B45+1</f>
        <v>#REF!</v>
      </c>
      <c r="C46" s="14" t="s">
        <v>269</v>
      </c>
      <c r="D46" s="87"/>
      <c r="E46" s="86"/>
      <c r="F46" s="84"/>
      <c r="G46" s="84"/>
      <c r="H46" s="36" t="s">
        <v>343</v>
      </c>
      <c r="I46" s="15">
        <v>46099</v>
      </c>
      <c r="J46" s="15">
        <v>46100</v>
      </c>
      <c r="K46" s="37"/>
      <c r="L46" s="13"/>
    </row>
    <row r="47" spans="2:12" x14ac:dyDescent="0.25">
      <c r="B47" s="16" t="e">
        <f>B46+1</f>
        <v>#REF!</v>
      </c>
      <c r="C47" s="14" t="s">
        <v>274</v>
      </c>
      <c r="D47" s="87"/>
      <c r="E47" s="86"/>
      <c r="F47" s="84"/>
      <c r="G47" s="84"/>
      <c r="H47" s="36" t="s">
        <v>343</v>
      </c>
      <c r="I47" s="15">
        <v>46100</v>
      </c>
      <c r="J47" s="15">
        <v>46101</v>
      </c>
      <c r="K47" s="37"/>
      <c r="L47" s="13"/>
    </row>
    <row r="48" spans="2:12" x14ac:dyDescent="0.25">
      <c r="B48" s="16" t="e">
        <f>B47+1</f>
        <v>#REF!</v>
      </c>
      <c r="C48" s="14" t="s">
        <v>277</v>
      </c>
      <c r="D48" s="87"/>
      <c r="E48" s="86"/>
      <c r="F48" s="84"/>
      <c r="G48" s="84"/>
      <c r="H48" s="36" t="s">
        <v>343</v>
      </c>
      <c r="I48" s="15">
        <v>46101</v>
      </c>
      <c r="J48" s="15">
        <v>46101</v>
      </c>
      <c r="K48" s="37"/>
      <c r="L48" s="13"/>
    </row>
    <row r="51" spans="2:12" x14ac:dyDescent="0.25">
      <c r="B51" s="85" t="e">
        <f>TEXT(Hoja2!#REF!,"d") &amp; " a " &amp; TEXT(Hoja2!#REF!,"d") &amp; " de " &amp; TEXT(Hoja2!#REF!,"mmmm")</f>
        <v>#REF!</v>
      </c>
      <c r="C51" s="85"/>
      <c r="D51" s="33" t="s">
        <v>251</v>
      </c>
      <c r="E51" s="33" t="s">
        <v>252</v>
      </c>
      <c r="F51" s="33" t="s">
        <v>253</v>
      </c>
      <c r="G51" s="33" t="s">
        <v>254</v>
      </c>
      <c r="H51" s="33" t="s">
        <v>255</v>
      </c>
      <c r="I51" s="34" t="s">
        <v>256</v>
      </c>
      <c r="J51" s="34" t="s">
        <v>257</v>
      </c>
      <c r="K51" s="33" t="s">
        <v>9</v>
      </c>
      <c r="L51" s="33" t="s">
        <v>258</v>
      </c>
    </row>
    <row r="52" spans="2:12" x14ac:dyDescent="0.25">
      <c r="B52" s="16" t="e">
        <f>Hoja2!#REF!</f>
        <v>#REF!</v>
      </c>
      <c r="C52" s="14" t="s">
        <v>259</v>
      </c>
      <c r="D52" s="87" t="s">
        <v>309</v>
      </c>
      <c r="E52" s="86" t="s">
        <v>302</v>
      </c>
      <c r="F52" s="86" t="s">
        <v>262</v>
      </c>
      <c r="G52" s="84" t="s">
        <v>263</v>
      </c>
      <c r="H52" s="36" t="s">
        <v>310</v>
      </c>
      <c r="I52" s="15" t="e">
        <f>B52</f>
        <v>#REF!</v>
      </c>
      <c r="J52" s="15" t="e">
        <f>B53</f>
        <v>#REF!</v>
      </c>
      <c r="K52" s="16"/>
      <c r="L52" s="13"/>
    </row>
    <row r="53" spans="2:12" x14ac:dyDescent="0.25">
      <c r="B53" s="16" t="e">
        <f>B52+1</f>
        <v>#REF!</v>
      </c>
      <c r="C53" s="14" t="s">
        <v>266</v>
      </c>
      <c r="D53" s="87"/>
      <c r="E53" s="86"/>
      <c r="F53" s="86"/>
      <c r="G53" s="84"/>
      <c r="H53" s="36" t="s">
        <v>310</v>
      </c>
      <c r="I53" s="15" t="e">
        <f>B53</f>
        <v>#REF!</v>
      </c>
      <c r="J53" s="15" t="e">
        <f>B54</f>
        <v>#REF!</v>
      </c>
      <c r="K53" s="16"/>
      <c r="L53" s="13"/>
    </row>
    <row r="54" spans="2:12" x14ac:dyDescent="0.25">
      <c r="B54" s="16" t="e">
        <f>B53+1</f>
        <v>#REF!</v>
      </c>
      <c r="C54" s="14" t="s">
        <v>269</v>
      </c>
      <c r="D54" s="87"/>
      <c r="E54" s="86"/>
      <c r="F54" s="86"/>
      <c r="G54" s="84"/>
      <c r="H54" s="36" t="s">
        <v>310</v>
      </c>
      <c r="I54" s="15" t="e">
        <f>B54</f>
        <v>#REF!</v>
      </c>
      <c r="J54" s="15" t="e">
        <f>B55</f>
        <v>#REF!</v>
      </c>
      <c r="K54" s="37"/>
      <c r="L54" s="13"/>
    </row>
    <row r="55" spans="2:12" x14ac:dyDescent="0.25">
      <c r="B55" s="16" t="e">
        <f>B54+1</f>
        <v>#REF!</v>
      </c>
      <c r="C55" s="14" t="s">
        <v>274</v>
      </c>
      <c r="D55" s="87"/>
      <c r="E55" s="86"/>
      <c r="F55" s="86"/>
      <c r="G55" s="84"/>
      <c r="H55" s="36" t="s">
        <v>310</v>
      </c>
      <c r="I55" s="15" t="e">
        <f>B55</f>
        <v>#REF!</v>
      </c>
      <c r="J55" s="15" t="e">
        <f>B56</f>
        <v>#REF!</v>
      </c>
      <c r="K55" s="37"/>
      <c r="L55" s="13"/>
    </row>
    <row r="56" spans="2:12" x14ac:dyDescent="0.25">
      <c r="B56" s="16" t="e">
        <f>B55+1</f>
        <v>#REF!</v>
      </c>
      <c r="C56" s="14" t="s">
        <v>277</v>
      </c>
      <c r="D56" s="87"/>
      <c r="E56" s="86"/>
      <c r="F56" s="86"/>
      <c r="G56" s="84"/>
      <c r="H56" s="36" t="s">
        <v>310</v>
      </c>
      <c r="I56" s="15" t="e">
        <f>B56</f>
        <v>#REF!</v>
      </c>
      <c r="J56" s="15" t="e">
        <f>J55</f>
        <v>#REF!</v>
      </c>
      <c r="K56" s="37"/>
      <c r="L56" s="13"/>
    </row>
    <row r="59" spans="2:12" x14ac:dyDescent="0.25">
      <c r="B59" s="85" t="e">
        <f>TEXT(Hoja2!#REF!,"d") &amp; " a " &amp; TEXT(Hoja2!#REF!,"d") &amp; " de " &amp; TEXT(Hoja2!#REF!,"mmmm")</f>
        <v>#REF!</v>
      </c>
      <c r="C59" s="85"/>
      <c r="D59" s="33" t="s">
        <v>251</v>
      </c>
      <c r="E59" s="33" t="s">
        <v>252</v>
      </c>
      <c r="F59" s="33" t="s">
        <v>253</v>
      </c>
      <c r="G59" s="33" t="s">
        <v>254</v>
      </c>
      <c r="H59" s="33" t="s">
        <v>255</v>
      </c>
      <c r="I59" s="34" t="s">
        <v>256</v>
      </c>
      <c r="J59" s="34" t="s">
        <v>257</v>
      </c>
      <c r="K59" s="33" t="s">
        <v>9</v>
      </c>
      <c r="L59" s="33" t="s">
        <v>258</v>
      </c>
    </row>
    <row r="60" spans="2:12" x14ac:dyDescent="0.25">
      <c r="B60" s="16" t="e">
        <f>Hoja2!#REF!</f>
        <v>#REF!</v>
      </c>
      <c r="C60" s="14" t="s">
        <v>259</v>
      </c>
      <c r="D60" s="86" t="s">
        <v>311</v>
      </c>
      <c r="E60" s="86" t="s">
        <v>302</v>
      </c>
      <c r="F60" s="86" t="s">
        <v>344</v>
      </c>
      <c r="G60" s="84" t="s">
        <v>263</v>
      </c>
      <c r="H60" s="81" t="s">
        <v>345</v>
      </c>
      <c r="I60" s="100" t="e">
        <f>B60</f>
        <v>#REF!</v>
      </c>
      <c r="J60" s="100">
        <v>46101</v>
      </c>
      <c r="K60" s="16"/>
      <c r="L60" s="13"/>
    </row>
    <row r="61" spans="2:12" ht="14.45" customHeight="1" x14ac:dyDescent="0.25">
      <c r="B61" s="16" t="e">
        <f>B60+1</f>
        <v>#REF!</v>
      </c>
      <c r="C61" s="14" t="s">
        <v>266</v>
      </c>
      <c r="D61" s="86"/>
      <c r="E61" s="86"/>
      <c r="F61" s="86"/>
      <c r="G61" s="84"/>
      <c r="H61" s="92"/>
      <c r="I61" s="105"/>
      <c r="J61" s="105"/>
      <c r="K61" s="16"/>
      <c r="L61" s="13"/>
    </row>
    <row r="62" spans="2:12" ht="14.45" customHeight="1" x14ac:dyDescent="0.25">
      <c r="B62" s="16" t="e">
        <f>B61+1</f>
        <v>#REF!</v>
      </c>
      <c r="C62" s="14" t="s">
        <v>269</v>
      </c>
      <c r="D62" s="86"/>
      <c r="E62" s="86"/>
      <c r="F62" s="86"/>
      <c r="G62" s="84"/>
      <c r="H62" s="92"/>
      <c r="I62" s="105"/>
      <c r="J62" s="105"/>
      <c r="K62" s="37"/>
      <c r="L62" s="13"/>
    </row>
    <row r="63" spans="2:12" ht="14.45" customHeight="1" x14ac:dyDescent="0.25">
      <c r="B63" s="16" t="e">
        <f>B62+1</f>
        <v>#REF!</v>
      </c>
      <c r="C63" s="14" t="s">
        <v>274</v>
      </c>
      <c r="D63" s="86"/>
      <c r="E63" s="86"/>
      <c r="F63" s="86"/>
      <c r="G63" s="84"/>
      <c r="H63" s="92"/>
      <c r="I63" s="105"/>
      <c r="J63" s="105"/>
      <c r="K63" s="37"/>
      <c r="L63" s="13"/>
    </row>
    <row r="64" spans="2:12" ht="14.45" customHeight="1" x14ac:dyDescent="0.25">
      <c r="B64" s="16" t="e">
        <f>B63+1</f>
        <v>#REF!</v>
      </c>
      <c r="C64" s="14" t="s">
        <v>277</v>
      </c>
      <c r="D64" s="86"/>
      <c r="E64" s="86"/>
      <c r="F64" s="86"/>
      <c r="G64" s="84"/>
      <c r="H64" s="82"/>
      <c r="I64" s="101"/>
      <c r="J64" s="101"/>
      <c r="K64" s="37"/>
      <c r="L64" s="13"/>
    </row>
    <row r="65" spans="2:12" x14ac:dyDescent="0.25">
      <c r="B65" s="5"/>
      <c r="D65" s="1"/>
      <c r="E65" s="1"/>
      <c r="F65" s="1"/>
      <c r="G65" s="2"/>
      <c r="H65" s="1"/>
      <c r="I65" s="3"/>
      <c r="J65" s="3"/>
      <c r="K65" s="3"/>
    </row>
    <row r="66" spans="2:12" x14ac:dyDescent="0.25">
      <c r="B66" s="5"/>
      <c r="D66" s="1"/>
      <c r="E66" s="1"/>
      <c r="F66" s="1"/>
      <c r="G66" s="2"/>
      <c r="H66" s="1"/>
      <c r="I66" s="3"/>
      <c r="J66" s="3"/>
      <c r="K66" s="3"/>
    </row>
    <row r="67" spans="2:12" x14ac:dyDescent="0.25">
      <c r="B67" s="85" t="e">
        <f>TEXT(Hoja2!#REF!,"d") &amp; " a " &amp; TEXT(Hoja2!#REF!,"d") &amp; " de " &amp; TEXT(Hoja2!#REF!,"mmmm")</f>
        <v>#REF!</v>
      </c>
      <c r="C67" s="85"/>
      <c r="D67" s="33" t="s">
        <v>251</v>
      </c>
      <c r="E67" s="33" t="s">
        <v>252</v>
      </c>
      <c r="F67" s="19" t="s">
        <v>253</v>
      </c>
      <c r="G67" s="19" t="s">
        <v>254</v>
      </c>
      <c r="H67" s="19" t="s">
        <v>255</v>
      </c>
      <c r="I67" s="22" t="s">
        <v>256</v>
      </c>
      <c r="J67" s="22" t="s">
        <v>257</v>
      </c>
      <c r="K67" s="33" t="s">
        <v>9</v>
      </c>
      <c r="L67" s="33" t="s">
        <v>258</v>
      </c>
    </row>
    <row r="68" spans="2:12" ht="14.45" customHeight="1" x14ac:dyDescent="0.25">
      <c r="B68" s="16" t="e">
        <f>Hoja2!#REF!</f>
        <v>#REF!</v>
      </c>
      <c r="C68" s="14" t="s">
        <v>259</v>
      </c>
      <c r="D68" s="86" t="s">
        <v>314</v>
      </c>
      <c r="E68" s="93" t="s">
        <v>315</v>
      </c>
      <c r="F68" s="46"/>
      <c r="G68" s="94" t="s">
        <v>263</v>
      </c>
      <c r="H68" s="47" t="s">
        <v>346</v>
      </c>
      <c r="I68" s="18">
        <v>46097</v>
      </c>
      <c r="J68" s="18">
        <v>46097</v>
      </c>
      <c r="K68" s="20" t="s">
        <v>265</v>
      </c>
      <c r="L68" s="13"/>
    </row>
    <row r="69" spans="2:12" x14ac:dyDescent="0.25">
      <c r="B69" s="16" t="e">
        <f>B68+1</f>
        <v>#REF!</v>
      </c>
      <c r="C69" s="14" t="s">
        <v>266</v>
      </c>
      <c r="D69" s="86"/>
      <c r="E69" s="93"/>
      <c r="F69" s="95" t="s">
        <v>267</v>
      </c>
      <c r="G69" s="94"/>
      <c r="H69" s="104" t="s">
        <v>347</v>
      </c>
      <c r="I69" s="18">
        <v>46098</v>
      </c>
      <c r="J69" s="18">
        <v>46101</v>
      </c>
      <c r="K69" s="20"/>
      <c r="L69" s="13"/>
    </row>
    <row r="70" spans="2:12" ht="14.45" customHeight="1" x14ac:dyDescent="0.25">
      <c r="B70" s="16" t="e">
        <f>B69+1</f>
        <v>#REF!</v>
      </c>
      <c r="C70" s="14" t="s">
        <v>269</v>
      </c>
      <c r="D70" s="86"/>
      <c r="E70" s="93"/>
      <c r="F70" s="95"/>
      <c r="G70" s="94"/>
      <c r="H70" s="104"/>
      <c r="I70" s="18">
        <v>46098</v>
      </c>
      <c r="J70" s="18">
        <v>46101</v>
      </c>
      <c r="K70" s="21"/>
      <c r="L70" s="13"/>
    </row>
    <row r="71" spans="2:12" ht="14.45" customHeight="1" x14ac:dyDescent="0.25">
      <c r="B71" s="16" t="e">
        <f>B70+1</f>
        <v>#REF!</v>
      </c>
      <c r="C71" s="14" t="s">
        <v>274</v>
      </c>
      <c r="D71" s="86"/>
      <c r="E71" s="93"/>
      <c r="F71" s="95" t="s">
        <v>270</v>
      </c>
      <c r="G71" s="94"/>
      <c r="H71" s="104" t="s">
        <v>348</v>
      </c>
      <c r="I71" s="18">
        <v>46098</v>
      </c>
      <c r="J71" s="18">
        <v>46101</v>
      </c>
      <c r="K71" s="21"/>
      <c r="L71" s="13"/>
    </row>
    <row r="72" spans="2:12" ht="14.45" customHeight="1" x14ac:dyDescent="0.25">
      <c r="B72" s="16" t="e">
        <f>B71+1</f>
        <v>#REF!</v>
      </c>
      <c r="C72" s="14" t="s">
        <v>277</v>
      </c>
      <c r="D72" s="86"/>
      <c r="E72" s="93"/>
      <c r="F72" s="95"/>
      <c r="G72" s="94"/>
      <c r="H72" s="104"/>
      <c r="I72" s="18"/>
      <c r="J72" s="18"/>
      <c r="K72" s="21"/>
      <c r="L72" s="13"/>
    </row>
    <row r="73" spans="2:12" x14ac:dyDescent="0.25">
      <c r="B73" s="5"/>
      <c r="D73" s="1"/>
      <c r="E73" s="1"/>
      <c r="F73" s="1"/>
      <c r="G73" s="2"/>
      <c r="H73" s="1"/>
      <c r="I73" s="3"/>
      <c r="J73" s="3"/>
      <c r="K73" s="3"/>
    </row>
    <row r="74" spans="2:12" x14ac:dyDescent="0.25">
      <c r="B74" s="5"/>
      <c r="D74" s="1"/>
      <c r="E74" s="1"/>
      <c r="F74" s="1"/>
      <c r="G74" s="2"/>
      <c r="H74" s="1"/>
      <c r="I74" s="3"/>
      <c r="J74" s="3"/>
      <c r="K74" s="3"/>
    </row>
    <row r="75" spans="2:12" x14ac:dyDescent="0.25">
      <c r="B75" s="85" t="e">
        <f>TEXT(Hoja2!#REF!,"d") &amp; " a " &amp; TEXT(Hoja2!#REF!,"d") &amp; " de " &amp; TEXT(Hoja2!#REF!,"mmmm")</f>
        <v>#REF!</v>
      </c>
      <c r="C75" s="85"/>
      <c r="D75" s="33" t="s">
        <v>251</v>
      </c>
      <c r="E75" s="33" t="s">
        <v>252</v>
      </c>
      <c r="F75" s="33" t="s">
        <v>253</v>
      </c>
      <c r="G75" s="33" t="s">
        <v>254</v>
      </c>
      <c r="H75" s="33" t="s">
        <v>255</v>
      </c>
      <c r="I75" s="34" t="s">
        <v>256</v>
      </c>
      <c r="J75" s="34" t="s">
        <v>257</v>
      </c>
      <c r="K75" s="33" t="s">
        <v>9</v>
      </c>
      <c r="L75" s="33" t="s">
        <v>258</v>
      </c>
    </row>
    <row r="76" spans="2:12" x14ac:dyDescent="0.25">
      <c r="B76" s="16" t="e">
        <f>Hoja2!#REF!</f>
        <v>#REF!</v>
      </c>
      <c r="C76" s="14" t="s">
        <v>259</v>
      </c>
      <c r="D76" s="86" t="s">
        <v>318</v>
      </c>
      <c r="E76" s="86" t="s">
        <v>319</v>
      </c>
      <c r="F76" s="86" t="s">
        <v>262</v>
      </c>
      <c r="G76" s="84" t="s">
        <v>263</v>
      </c>
      <c r="H76" s="23" t="s">
        <v>349</v>
      </c>
      <c r="I76" s="16" t="e">
        <f>Hoja2!#REF!</f>
        <v>#REF!</v>
      </c>
      <c r="J76" s="15"/>
      <c r="K76" s="16"/>
      <c r="L76" s="13" t="s">
        <v>350</v>
      </c>
    </row>
    <row r="77" spans="2:12" x14ac:dyDescent="0.25">
      <c r="B77" s="16" t="e">
        <f>B76+1</f>
        <v>#REF!</v>
      </c>
      <c r="C77" s="14" t="s">
        <v>266</v>
      </c>
      <c r="D77" s="86"/>
      <c r="E77" s="86"/>
      <c r="F77" s="86"/>
      <c r="G77" s="84"/>
      <c r="H77" s="23" t="s">
        <v>351</v>
      </c>
      <c r="I77" s="16" t="e">
        <f>I76+1</f>
        <v>#REF!</v>
      </c>
      <c r="J77" s="15"/>
      <c r="K77" s="16"/>
      <c r="L77" s="13"/>
    </row>
    <row r="78" spans="2:12" ht="14.45" customHeight="1" x14ac:dyDescent="0.25">
      <c r="B78" s="16" t="e">
        <f>B77+1</f>
        <v>#REF!</v>
      </c>
      <c r="C78" s="14" t="s">
        <v>269</v>
      </c>
      <c r="D78" s="86"/>
      <c r="E78" s="86"/>
      <c r="F78" s="86"/>
      <c r="G78" s="84"/>
      <c r="H78" s="23" t="s">
        <v>352</v>
      </c>
      <c r="I78" s="16" t="e">
        <f>I77+1</f>
        <v>#REF!</v>
      </c>
      <c r="J78" s="15"/>
      <c r="K78" s="37"/>
      <c r="L78" s="13"/>
    </row>
    <row r="79" spans="2:12" ht="14.45" customHeight="1" x14ac:dyDescent="0.25">
      <c r="B79" s="16" t="e">
        <f>B78+1</f>
        <v>#REF!</v>
      </c>
      <c r="C79" s="14" t="s">
        <v>274</v>
      </c>
      <c r="D79" s="86"/>
      <c r="E79" s="86"/>
      <c r="F79" s="86"/>
      <c r="G79" s="84"/>
      <c r="H79" s="40" t="s">
        <v>353</v>
      </c>
      <c r="I79" s="16" t="e">
        <f>I78+1</f>
        <v>#REF!</v>
      </c>
      <c r="J79" s="41"/>
      <c r="K79" s="37"/>
      <c r="L79" s="13"/>
    </row>
    <row r="80" spans="2:12" x14ac:dyDescent="0.25">
      <c r="B80" s="16" t="e">
        <f>B79+1</f>
        <v>#REF!</v>
      </c>
      <c r="C80" s="14" t="s">
        <v>277</v>
      </c>
      <c r="D80" s="86"/>
      <c r="E80" s="86"/>
      <c r="F80" s="86"/>
      <c r="G80" s="84"/>
      <c r="H80" s="40"/>
      <c r="I80" s="16" t="e">
        <f>I79+1</f>
        <v>#REF!</v>
      </c>
      <c r="J80" s="41"/>
      <c r="K80" s="37"/>
      <c r="L80" s="13"/>
    </row>
    <row r="81" spans="2:12" x14ac:dyDescent="0.25">
      <c r="B81" s="5"/>
      <c r="D81" s="1"/>
      <c r="E81" s="1"/>
      <c r="F81" s="1"/>
      <c r="G81" s="2"/>
      <c r="H81" s="1"/>
      <c r="I81" s="3"/>
      <c r="J81" s="3"/>
      <c r="K81" s="3"/>
    </row>
    <row r="82" spans="2:12" x14ac:dyDescent="0.25">
      <c r="B82" s="5"/>
      <c r="D82" s="1"/>
      <c r="E82" s="1"/>
      <c r="F82" s="1"/>
      <c r="G82" s="2"/>
      <c r="H82" s="1"/>
      <c r="I82" s="3"/>
      <c r="J82" s="3"/>
      <c r="K82" s="3"/>
    </row>
    <row r="83" spans="2:12" x14ac:dyDescent="0.25">
      <c r="B83" s="85" t="e">
        <f>TEXT(Hoja2!#REF!,"d") &amp; " a " &amp; TEXT(Hoja2!#REF!,"d") &amp; " de " &amp; TEXT(Hoja2!#REF!,"mmmm")</f>
        <v>#REF!</v>
      </c>
      <c r="C83" s="85"/>
      <c r="D83" s="33" t="s">
        <v>251</v>
      </c>
      <c r="E83" s="33" t="s">
        <v>252</v>
      </c>
      <c r="F83" s="33" t="s">
        <v>253</v>
      </c>
      <c r="G83" s="33" t="s">
        <v>254</v>
      </c>
      <c r="H83" s="33" t="s">
        <v>255</v>
      </c>
      <c r="I83" s="34" t="s">
        <v>256</v>
      </c>
      <c r="J83" s="34" t="s">
        <v>257</v>
      </c>
      <c r="K83" s="33" t="s">
        <v>9</v>
      </c>
      <c r="L83" s="33" t="s">
        <v>258</v>
      </c>
    </row>
    <row r="84" spans="2:12" ht="14.45" customHeight="1" x14ac:dyDescent="0.25">
      <c r="B84" s="16" t="e">
        <f>Hoja2!#REF!</f>
        <v>#REF!</v>
      </c>
      <c r="C84" s="14" t="s">
        <v>259</v>
      </c>
      <c r="D84" s="86" t="s">
        <v>322</v>
      </c>
      <c r="E84" s="86" t="s">
        <v>319</v>
      </c>
      <c r="F84" s="86" t="s">
        <v>262</v>
      </c>
      <c r="G84" s="84" t="s">
        <v>263</v>
      </c>
      <c r="H84" s="17" t="s">
        <v>346</v>
      </c>
      <c r="I84" s="12"/>
      <c r="J84" s="12"/>
      <c r="K84" s="26"/>
      <c r="L84" s="13"/>
    </row>
    <row r="85" spans="2:12" x14ac:dyDescent="0.25">
      <c r="B85" s="16" t="e">
        <f>B84+1</f>
        <v>#REF!</v>
      </c>
      <c r="C85" s="14" t="s">
        <v>266</v>
      </c>
      <c r="D85" s="86"/>
      <c r="E85" s="86"/>
      <c r="F85" s="86"/>
      <c r="G85" s="96"/>
      <c r="H85" s="81" t="s">
        <v>354</v>
      </c>
      <c r="I85" s="15"/>
      <c r="J85" s="15"/>
      <c r="K85" s="16"/>
      <c r="L85" s="25"/>
    </row>
    <row r="86" spans="2:12" x14ac:dyDescent="0.25">
      <c r="B86" s="16" t="e">
        <f>B85+1</f>
        <v>#REF!</v>
      </c>
      <c r="C86" s="14" t="s">
        <v>269</v>
      </c>
      <c r="D86" s="86"/>
      <c r="E86" s="86"/>
      <c r="F86" s="86"/>
      <c r="G86" s="96"/>
      <c r="H86" s="92"/>
      <c r="I86" s="24"/>
      <c r="J86" s="24"/>
      <c r="K86" s="13"/>
      <c r="L86" s="25"/>
    </row>
    <row r="87" spans="2:12" x14ac:dyDescent="0.25">
      <c r="B87" s="16" t="e">
        <f>B86+1</f>
        <v>#REF!</v>
      </c>
      <c r="C87" s="14" t="s">
        <v>274</v>
      </c>
      <c r="D87" s="86"/>
      <c r="E87" s="86"/>
      <c r="F87" s="86"/>
      <c r="G87" s="96"/>
      <c r="H87" s="92"/>
      <c r="I87" s="24"/>
      <c r="J87" s="24"/>
      <c r="K87" s="13"/>
      <c r="L87" s="25"/>
    </row>
    <row r="88" spans="2:12" x14ac:dyDescent="0.25">
      <c r="B88" s="16" t="e">
        <f>B87+1</f>
        <v>#REF!</v>
      </c>
      <c r="C88" s="14" t="s">
        <v>277</v>
      </c>
      <c r="D88" s="86"/>
      <c r="E88" s="86"/>
      <c r="F88" s="86"/>
      <c r="G88" s="96"/>
      <c r="H88" s="82"/>
      <c r="I88" s="24"/>
      <c r="J88" s="24"/>
      <c r="K88" s="13"/>
      <c r="L88" s="25"/>
    </row>
    <row r="89" spans="2:12" x14ac:dyDescent="0.25">
      <c r="B89" s="5"/>
      <c r="D89" s="1"/>
      <c r="E89" s="1"/>
      <c r="F89" s="1"/>
      <c r="G89" s="2"/>
      <c r="H89" s="1"/>
      <c r="I89" s="3"/>
      <c r="J89" s="3"/>
      <c r="K89" s="3"/>
    </row>
    <row r="90" spans="2:12" x14ac:dyDescent="0.25">
      <c r="D90" s="1"/>
      <c r="E90" s="1"/>
      <c r="F90" s="1"/>
      <c r="G90" s="2"/>
      <c r="H90" s="1"/>
      <c r="I90" s="3"/>
      <c r="J90" s="3"/>
      <c r="K90" s="3"/>
    </row>
    <row r="91" spans="2:12" x14ac:dyDescent="0.25">
      <c r="B91" s="85" t="e">
        <f>TEXT(Hoja2!#REF!,"d") &amp; " a " &amp; TEXT(Hoja2!#REF!,"d") &amp; " de " &amp; TEXT(Hoja2!#REF!,"mmmm")</f>
        <v>#REF!</v>
      </c>
      <c r="C91" s="85"/>
      <c r="D91" s="33" t="s">
        <v>251</v>
      </c>
      <c r="E91" s="33" t="s">
        <v>252</v>
      </c>
      <c r="F91" s="33" t="s">
        <v>253</v>
      </c>
      <c r="G91" s="33" t="s">
        <v>254</v>
      </c>
      <c r="H91" s="33" t="s">
        <v>255</v>
      </c>
      <c r="I91" s="34" t="s">
        <v>256</v>
      </c>
      <c r="J91" s="34" t="s">
        <v>257</v>
      </c>
      <c r="K91" s="33" t="s">
        <v>9</v>
      </c>
      <c r="L91" s="33" t="s">
        <v>258</v>
      </c>
    </row>
    <row r="92" spans="2:12" ht="14.45" customHeight="1" x14ac:dyDescent="0.25">
      <c r="B92" s="16" t="e">
        <f>Hoja2!#REF!</f>
        <v>#REF!</v>
      </c>
      <c r="C92" s="14" t="s">
        <v>259</v>
      </c>
      <c r="D92" s="87" t="s">
        <v>326</v>
      </c>
      <c r="E92" s="84" t="s">
        <v>327</v>
      </c>
      <c r="F92" s="84" t="s">
        <v>328</v>
      </c>
      <c r="G92" s="84" t="s">
        <v>329</v>
      </c>
      <c r="H92" s="23" t="s">
        <v>330</v>
      </c>
      <c r="I92" s="15"/>
      <c r="J92" s="15"/>
      <c r="K92" s="16"/>
      <c r="L92" s="13"/>
    </row>
    <row r="93" spans="2:12" x14ac:dyDescent="0.25">
      <c r="B93" s="16" t="e">
        <f>B92+1</f>
        <v>#REF!</v>
      </c>
      <c r="C93" s="14" t="s">
        <v>266</v>
      </c>
      <c r="D93" s="87"/>
      <c r="E93" s="84"/>
      <c r="F93" s="84"/>
      <c r="G93" s="84"/>
      <c r="H93" s="23"/>
      <c r="I93" s="15"/>
      <c r="J93" s="15"/>
      <c r="K93" s="16"/>
      <c r="L93" s="13"/>
    </row>
    <row r="94" spans="2:12" x14ac:dyDescent="0.25">
      <c r="B94" s="16" t="e">
        <f>B93+1</f>
        <v>#REF!</v>
      </c>
      <c r="C94" s="14" t="s">
        <v>269</v>
      </c>
      <c r="D94" s="87"/>
      <c r="E94" s="84"/>
      <c r="F94" s="84"/>
      <c r="G94" s="84"/>
      <c r="H94" s="23"/>
      <c r="I94" s="15"/>
      <c r="J94" s="15"/>
      <c r="K94" s="37"/>
      <c r="L94" s="13"/>
    </row>
    <row r="95" spans="2:12" x14ac:dyDescent="0.25">
      <c r="B95" s="16" t="e">
        <f>B94+1</f>
        <v>#REF!</v>
      </c>
      <c r="C95" s="14" t="s">
        <v>274</v>
      </c>
      <c r="D95" s="87"/>
      <c r="E95" s="84"/>
      <c r="F95" s="84"/>
      <c r="G95" s="84"/>
      <c r="H95" s="23"/>
      <c r="I95" s="15"/>
      <c r="J95" s="15"/>
      <c r="K95" s="37"/>
      <c r="L95" s="13"/>
    </row>
    <row r="96" spans="2:12" x14ac:dyDescent="0.25">
      <c r="B96" s="16" t="e">
        <f>B95+1</f>
        <v>#REF!</v>
      </c>
      <c r="C96" s="14" t="s">
        <v>277</v>
      </c>
      <c r="D96" s="87"/>
      <c r="E96" s="84"/>
      <c r="F96" s="84"/>
      <c r="G96" s="84"/>
      <c r="H96" s="23"/>
      <c r="I96" s="15"/>
      <c r="J96" s="15"/>
      <c r="K96" s="37"/>
      <c r="L96" s="13"/>
    </row>
    <row r="97" spans="2:12" x14ac:dyDescent="0.25">
      <c r="B97" s="5"/>
      <c r="D97" s="1"/>
      <c r="E97" s="1"/>
      <c r="F97" s="1"/>
      <c r="G97" s="2"/>
      <c r="H97" s="1"/>
      <c r="I97" s="3"/>
      <c r="J97" s="3"/>
      <c r="K97" s="3"/>
    </row>
    <row r="99" spans="2:12" x14ac:dyDescent="0.25">
      <c r="B99" s="85" t="e">
        <f>TEXT(Hoja2!#REF!,"d") &amp; " a " &amp; TEXT(Hoja2!#REF!,"d") &amp; " de " &amp; TEXT(Hoja2!#REF!,"mmmm")</f>
        <v>#REF!</v>
      </c>
      <c r="C99" s="85"/>
      <c r="D99" s="33" t="s">
        <v>251</v>
      </c>
      <c r="E99" s="33" t="s">
        <v>252</v>
      </c>
      <c r="F99" s="33" t="s">
        <v>253</v>
      </c>
      <c r="G99" s="33" t="s">
        <v>254</v>
      </c>
      <c r="H99" s="33" t="s">
        <v>255</v>
      </c>
      <c r="I99" s="34" t="s">
        <v>256</v>
      </c>
      <c r="J99" s="34" t="s">
        <v>257</v>
      </c>
      <c r="K99" s="33" t="s">
        <v>9</v>
      </c>
      <c r="L99" s="33" t="s">
        <v>258</v>
      </c>
    </row>
    <row r="100" spans="2:12" ht="14.45" customHeight="1" x14ac:dyDescent="0.25">
      <c r="B100" s="16" t="e">
        <f>Hoja2!#REF!</f>
        <v>#REF!</v>
      </c>
      <c r="C100" s="14" t="s">
        <v>259</v>
      </c>
      <c r="D100" s="87" t="s">
        <v>331</v>
      </c>
      <c r="E100" s="86" t="s">
        <v>332</v>
      </c>
      <c r="F100" s="84" t="s">
        <v>328</v>
      </c>
      <c r="G100" s="84" t="s">
        <v>329</v>
      </c>
      <c r="H100" s="43" t="s">
        <v>333</v>
      </c>
      <c r="I100" s="15"/>
      <c r="J100" s="15"/>
      <c r="K100" s="16"/>
      <c r="L100" s="13"/>
    </row>
    <row r="101" spans="2:12" x14ac:dyDescent="0.25">
      <c r="B101" s="16" t="e">
        <f>B100+1</f>
        <v>#REF!</v>
      </c>
      <c r="C101" s="14" t="s">
        <v>266</v>
      </c>
      <c r="D101" s="87"/>
      <c r="E101" s="86"/>
      <c r="F101" s="84"/>
      <c r="G101" s="84"/>
      <c r="H101" s="23"/>
      <c r="I101" s="15"/>
      <c r="J101" s="15"/>
      <c r="K101" s="16"/>
      <c r="L101" s="13"/>
    </row>
    <row r="102" spans="2:12" x14ac:dyDescent="0.25">
      <c r="B102" s="16" t="e">
        <f>B101+1</f>
        <v>#REF!</v>
      </c>
      <c r="C102" s="14" t="s">
        <v>269</v>
      </c>
      <c r="D102" s="87"/>
      <c r="E102" s="86"/>
      <c r="F102" s="84"/>
      <c r="G102" s="84"/>
      <c r="H102" s="23"/>
      <c r="I102" s="15"/>
      <c r="J102" s="15"/>
      <c r="K102" s="37"/>
      <c r="L102" s="13"/>
    </row>
    <row r="103" spans="2:12" x14ac:dyDescent="0.25">
      <c r="B103" s="16" t="e">
        <f>B102+1</f>
        <v>#REF!</v>
      </c>
      <c r="C103" s="14" t="s">
        <v>274</v>
      </c>
      <c r="D103" s="87"/>
      <c r="E103" s="86"/>
      <c r="F103" s="84"/>
      <c r="G103" s="84"/>
      <c r="H103" s="23"/>
      <c r="I103" s="15"/>
      <c r="J103" s="15"/>
      <c r="K103" s="37"/>
      <c r="L103" s="13"/>
    </row>
    <row r="104" spans="2:12" x14ac:dyDescent="0.25">
      <c r="B104" s="16" t="e">
        <f>B103+1</f>
        <v>#REF!</v>
      </c>
      <c r="C104" s="14" t="s">
        <v>277</v>
      </c>
      <c r="D104" s="87"/>
      <c r="E104" s="86"/>
      <c r="F104" s="84"/>
      <c r="G104" s="84"/>
      <c r="H104" s="23"/>
      <c r="I104" s="15"/>
      <c r="J104" s="15"/>
      <c r="K104" s="37"/>
      <c r="L104" s="13"/>
    </row>
  </sheetData>
  <mergeCells count="79">
    <mergeCell ref="H69:H70"/>
    <mergeCell ref="H71:H72"/>
    <mergeCell ref="J60:J64"/>
    <mergeCell ref="J21:J22"/>
    <mergeCell ref="I23:I24"/>
    <mergeCell ref="J23:J24"/>
    <mergeCell ref="I28:I32"/>
    <mergeCell ref="J28:J32"/>
    <mergeCell ref="H60:H64"/>
    <mergeCell ref="I60:I64"/>
    <mergeCell ref="D92:D96"/>
    <mergeCell ref="E92:E96"/>
    <mergeCell ref="F92:F96"/>
    <mergeCell ref="G92:G96"/>
    <mergeCell ref="D76:D80"/>
    <mergeCell ref="E76:E80"/>
    <mergeCell ref="F76:F80"/>
    <mergeCell ref="G76:G80"/>
    <mergeCell ref="B99:C99"/>
    <mergeCell ref="D100:D104"/>
    <mergeCell ref="E100:E104"/>
    <mergeCell ref="F100:F104"/>
    <mergeCell ref="G100:G104"/>
    <mergeCell ref="D52:D56"/>
    <mergeCell ref="E52:E56"/>
    <mergeCell ref="F52:F56"/>
    <mergeCell ref="G52:G56"/>
    <mergeCell ref="G60:G64"/>
    <mergeCell ref="F21:F24"/>
    <mergeCell ref="G21:G24"/>
    <mergeCell ref="I21:I22"/>
    <mergeCell ref="H23:H24"/>
    <mergeCell ref="H21:H22"/>
    <mergeCell ref="B91:C91"/>
    <mergeCell ref="B75:C75"/>
    <mergeCell ref="E68:E72"/>
    <mergeCell ref="G68:G72"/>
    <mergeCell ref="D68:D72"/>
    <mergeCell ref="F69:F70"/>
    <mergeCell ref="F71:F72"/>
    <mergeCell ref="G84:G88"/>
    <mergeCell ref="B27:C27"/>
    <mergeCell ref="D28:D32"/>
    <mergeCell ref="E28:E32"/>
    <mergeCell ref="D12:D16"/>
    <mergeCell ref="E12:E16"/>
    <mergeCell ref="D20:D24"/>
    <mergeCell ref="E20:E24"/>
    <mergeCell ref="F12:F16"/>
    <mergeCell ref="G12:G16"/>
    <mergeCell ref="B19:C19"/>
    <mergeCell ref="B3:C3"/>
    <mergeCell ref="D4:D8"/>
    <mergeCell ref="E4:E8"/>
    <mergeCell ref="G4:G8"/>
    <mergeCell ref="B11:C11"/>
    <mergeCell ref="F28:F32"/>
    <mergeCell ref="G28:G32"/>
    <mergeCell ref="B35:C35"/>
    <mergeCell ref="D36:D40"/>
    <mergeCell ref="E36:E40"/>
    <mergeCell ref="F36:F40"/>
    <mergeCell ref="G36:G40"/>
    <mergeCell ref="H85:H88"/>
    <mergeCell ref="B43:C43"/>
    <mergeCell ref="B83:C83"/>
    <mergeCell ref="D84:D88"/>
    <mergeCell ref="E84:E88"/>
    <mergeCell ref="F84:F88"/>
    <mergeCell ref="D44:D48"/>
    <mergeCell ref="E44:E48"/>
    <mergeCell ref="F44:F48"/>
    <mergeCell ref="B59:C59"/>
    <mergeCell ref="D60:D64"/>
    <mergeCell ref="E60:E64"/>
    <mergeCell ref="F60:F64"/>
    <mergeCell ref="G44:G48"/>
    <mergeCell ref="B51:C51"/>
    <mergeCell ref="B67:C67"/>
  </mergeCells>
  <dataValidations count="1">
    <dataValidation type="list" allowBlank="1" showInputMessage="1" showErrorMessage="1" sqref="K4:K8 K12:K16 K76:K80 K28:K32 K36:K40 K44:K48 K52:K56 K60:K64 K92:K96 K100:K104 K68:K72 K20 K22:K24 K84:K85" xr:uid="{AC235AFC-2B13-4FD4-878F-A435C2447880}">
      <formula1>"Finalizada, En proceso, Pausada, Reproceso"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E62D0-8CD7-4FC0-8149-88A84195F0AC}">
  <sheetPr codeName="Hoja3"/>
  <dimension ref="B2:E10"/>
  <sheetViews>
    <sheetView topLeftCell="A4" workbookViewId="0">
      <selection activeCell="C6" sqref="C6"/>
    </sheetView>
  </sheetViews>
  <sheetFormatPr baseColWidth="10" defaultColWidth="11.42578125" defaultRowHeight="15" x14ac:dyDescent="0.25"/>
  <cols>
    <col min="2" max="2" width="28" customWidth="1"/>
    <col min="3" max="3" width="35.5703125" customWidth="1"/>
    <col min="4" max="4" width="39.28515625" customWidth="1"/>
    <col min="5" max="5" width="33.42578125" customWidth="1"/>
    <col min="6" max="6" width="27" bestFit="1" customWidth="1"/>
  </cols>
  <sheetData>
    <row r="2" spans="2:5" x14ac:dyDescent="0.25">
      <c r="B2" s="56" t="s">
        <v>253</v>
      </c>
      <c r="C2" s="56" t="s">
        <v>355</v>
      </c>
      <c r="D2" s="56" t="s">
        <v>356</v>
      </c>
      <c r="E2" s="56" t="s">
        <v>357</v>
      </c>
    </row>
    <row r="3" spans="2:5" ht="60" x14ac:dyDescent="0.25">
      <c r="B3" s="57" t="s">
        <v>358</v>
      </c>
      <c r="C3" s="58" t="s">
        <v>359</v>
      </c>
      <c r="D3" s="59" t="s">
        <v>360</v>
      </c>
      <c r="E3" s="60" t="s">
        <v>361</v>
      </c>
    </row>
    <row r="4" spans="2:5" ht="120" x14ac:dyDescent="0.25">
      <c r="B4" s="57" t="s">
        <v>362</v>
      </c>
      <c r="C4" s="58" t="s">
        <v>363</v>
      </c>
      <c r="D4" s="59" t="s">
        <v>364</v>
      </c>
      <c r="E4" s="61">
        <v>46149</v>
      </c>
    </row>
    <row r="5" spans="2:5" ht="90" x14ac:dyDescent="0.25">
      <c r="B5" s="57" t="s">
        <v>270</v>
      </c>
      <c r="C5" s="58" t="s">
        <v>365</v>
      </c>
      <c r="D5" s="59" t="s">
        <v>366</v>
      </c>
      <c r="E5" s="55" t="s">
        <v>367</v>
      </c>
    </row>
    <row r="6" spans="2:5" ht="90" x14ac:dyDescent="0.25">
      <c r="B6" s="57" t="s">
        <v>368</v>
      </c>
      <c r="C6" s="58" t="s">
        <v>369</v>
      </c>
      <c r="D6" s="59" t="s">
        <v>370</v>
      </c>
      <c r="E6" s="55" t="s">
        <v>367</v>
      </c>
    </row>
    <row r="7" spans="2:5" ht="120" x14ac:dyDescent="0.25">
      <c r="B7" s="62" t="s">
        <v>371</v>
      </c>
      <c r="C7" s="58" t="s">
        <v>372</v>
      </c>
      <c r="D7" s="59" t="s">
        <v>373</v>
      </c>
      <c r="E7" s="55" t="s">
        <v>367</v>
      </c>
    </row>
    <row r="8" spans="2:5" ht="60" x14ac:dyDescent="0.25">
      <c r="B8" s="62" t="s">
        <v>374</v>
      </c>
      <c r="C8" s="58" t="s">
        <v>375</v>
      </c>
      <c r="D8" s="59" t="s">
        <v>376</v>
      </c>
      <c r="E8" s="55" t="s">
        <v>367</v>
      </c>
    </row>
    <row r="9" spans="2:5" ht="75" x14ac:dyDescent="0.25">
      <c r="B9" s="62" t="s">
        <v>377</v>
      </c>
      <c r="C9" s="58" t="s">
        <v>361</v>
      </c>
      <c r="D9" s="59" t="s">
        <v>378</v>
      </c>
      <c r="E9" s="61">
        <v>46142</v>
      </c>
    </row>
    <row r="10" spans="2:5" ht="120" x14ac:dyDescent="0.25">
      <c r="B10" s="62" t="s">
        <v>379</v>
      </c>
      <c r="C10" s="58" t="s">
        <v>361</v>
      </c>
      <c r="D10" s="59" t="s">
        <v>380</v>
      </c>
      <c r="E10" s="55" t="s">
        <v>367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A6044-85C2-4F83-8C47-39781A3A89B6}">
  <sheetPr codeName="Hoja10"/>
  <dimension ref="A1:L184"/>
  <sheetViews>
    <sheetView topLeftCell="A68" zoomScale="70" zoomScaleNormal="70" workbookViewId="0">
      <selection activeCell="E81" sqref="E81:H88"/>
    </sheetView>
  </sheetViews>
  <sheetFormatPr baseColWidth="10" defaultColWidth="11.42578125" defaultRowHeight="15" x14ac:dyDescent="0.25"/>
  <cols>
    <col min="1" max="1" width="21.28515625" bestFit="1" customWidth="1"/>
    <col min="2" max="12" width="15.7109375" customWidth="1"/>
    <col min="13" max="13" width="14.7109375" customWidth="1"/>
    <col min="14" max="14" width="22.42578125" bestFit="1" customWidth="1"/>
  </cols>
  <sheetData>
    <row r="1" spans="1:12" ht="28.15" customHeight="1" x14ac:dyDescent="0.25">
      <c r="A1" s="113" t="s">
        <v>381</v>
      </c>
      <c r="B1" s="114"/>
      <c r="C1" s="114"/>
      <c r="D1" s="114"/>
      <c r="E1" s="114"/>
      <c r="F1" s="114"/>
      <c r="G1" s="114"/>
      <c r="H1" s="114"/>
      <c r="I1" s="114"/>
      <c r="J1" s="114"/>
      <c r="K1" s="114"/>
      <c r="L1" s="114"/>
    </row>
    <row r="2" spans="1:12" ht="28.15" customHeight="1" x14ac:dyDescent="0.25">
      <c r="A2" s="11"/>
      <c r="B2" s="11"/>
      <c r="C2" s="11"/>
      <c r="D2" s="11"/>
      <c r="E2" s="11"/>
      <c r="F2" s="11"/>
      <c r="G2" s="11"/>
      <c r="H2" s="11"/>
      <c r="I2" s="11"/>
      <c r="J2" s="11"/>
      <c r="K2" s="11"/>
      <c r="L2" s="11"/>
    </row>
    <row r="3" spans="1:12" ht="19.899999999999999" customHeight="1" x14ac:dyDescent="0.25">
      <c r="A3" s="115" t="s">
        <v>382</v>
      </c>
      <c r="B3" s="115"/>
      <c r="C3" s="115"/>
      <c r="D3" s="115"/>
      <c r="E3" s="115"/>
      <c r="F3" s="115"/>
      <c r="G3" s="115"/>
      <c r="H3" s="115"/>
      <c r="I3" s="115"/>
      <c r="J3" s="115"/>
      <c r="K3" s="115"/>
      <c r="L3" s="115"/>
    </row>
    <row r="4" spans="1:12" x14ac:dyDescent="0.25">
      <c r="A4" s="112" t="s">
        <v>383</v>
      </c>
      <c r="B4" s="112"/>
      <c r="C4" s="112"/>
      <c r="D4" s="112"/>
      <c r="E4" s="112"/>
      <c r="F4" s="112"/>
      <c r="G4" s="112"/>
      <c r="H4" s="112"/>
      <c r="I4" s="112"/>
      <c r="J4" s="112"/>
      <c r="K4" s="112"/>
      <c r="L4" s="112"/>
    </row>
    <row r="5" spans="1:12" x14ac:dyDescent="0.25">
      <c r="A5" s="11"/>
      <c r="B5" s="11"/>
      <c r="C5" s="11"/>
      <c r="D5" s="11"/>
      <c r="E5" s="11"/>
      <c r="F5" s="11"/>
      <c r="G5" s="11"/>
      <c r="H5" s="11"/>
      <c r="I5" s="11"/>
      <c r="J5" s="11"/>
      <c r="K5" s="11"/>
      <c r="L5" s="11"/>
    </row>
    <row r="6" spans="1:12" ht="15.75" x14ac:dyDescent="0.25">
      <c r="A6" s="111" t="s">
        <v>13</v>
      </c>
      <c r="B6" s="111"/>
      <c r="C6" s="111"/>
      <c r="D6" s="111"/>
      <c r="E6" s="111"/>
      <c r="F6" s="111"/>
      <c r="G6" s="111"/>
      <c r="H6" s="111"/>
      <c r="I6" s="111"/>
      <c r="J6" s="111"/>
      <c r="K6" s="111"/>
      <c r="L6" s="111"/>
    </row>
    <row r="7" spans="1:12" x14ac:dyDescent="0.25">
      <c r="A7" s="110" t="s">
        <v>384</v>
      </c>
      <c r="B7" s="110"/>
      <c r="C7" s="110"/>
      <c r="D7" s="110"/>
      <c r="E7" s="110"/>
      <c r="F7" s="110"/>
      <c r="G7" s="110"/>
      <c r="H7" s="110"/>
      <c r="I7" s="110"/>
      <c r="J7" s="110"/>
      <c r="K7" s="110"/>
      <c r="L7" s="110"/>
    </row>
    <row r="8" spans="1:12" x14ac:dyDescent="0.25">
      <c r="A8" s="110" t="s">
        <v>385</v>
      </c>
      <c r="B8" s="110"/>
      <c r="C8" s="110"/>
      <c r="D8" s="110"/>
      <c r="E8" s="110"/>
      <c r="F8" s="110"/>
      <c r="G8" s="110"/>
      <c r="H8" s="110"/>
      <c r="I8" s="110"/>
      <c r="J8" s="110"/>
      <c r="K8" s="110"/>
      <c r="L8" s="110"/>
    </row>
    <row r="9" spans="1:12" x14ac:dyDescent="0.25">
      <c r="A9" s="110" t="s">
        <v>386</v>
      </c>
      <c r="B9" s="110"/>
      <c r="C9" s="110"/>
      <c r="D9" s="110"/>
      <c r="E9" s="110"/>
      <c r="F9" s="110"/>
      <c r="G9" s="110"/>
      <c r="H9" s="110"/>
      <c r="I9" s="110"/>
      <c r="J9" s="110"/>
      <c r="K9" s="110"/>
      <c r="L9" s="110"/>
    </row>
    <row r="10" spans="1:12" x14ac:dyDescent="0.25">
      <c r="A10" s="110" t="s">
        <v>387</v>
      </c>
      <c r="B10" s="110"/>
      <c r="C10" s="110"/>
      <c r="D10" s="110"/>
      <c r="E10" s="110"/>
      <c r="F10" s="110"/>
      <c r="G10" s="110"/>
      <c r="H10" s="110"/>
      <c r="I10" s="110"/>
      <c r="J10" s="110"/>
      <c r="K10" s="110"/>
      <c r="L10" s="110"/>
    </row>
    <row r="11" spans="1:12" x14ac:dyDescent="0.25">
      <c r="A11" s="110" t="s">
        <v>388</v>
      </c>
      <c r="B11" s="110"/>
      <c r="C11" s="110"/>
      <c r="D11" s="110"/>
      <c r="E11" s="110"/>
      <c r="F11" s="110"/>
      <c r="G11" s="110"/>
      <c r="H11" s="110"/>
      <c r="I11" s="110"/>
      <c r="J11" s="110"/>
      <c r="K11" s="110"/>
      <c r="L11" s="110"/>
    </row>
    <row r="12" spans="1:12" x14ac:dyDescent="0.25">
      <c r="A12" s="110" t="s">
        <v>389</v>
      </c>
      <c r="B12" s="110"/>
      <c r="C12" s="110"/>
      <c r="D12" s="110"/>
      <c r="E12" s="110"/>
      <c r="F12" s="110"/>
      <c r="G12" s="110"/>
      <c r="H12" s="110"/>
      <c r="I12" s="110"/>
      <c r="J12" s="110"/>
      <c r="K12" s="110"/>
      <c r="L12" s="110"/>
    </row>
    <row r="13" spans="1:12" x14ac:dyDescent="0.25">
      <c r="A13" s="110" t="s">
        <v>390</v>
      </c>
      <c r="B13" s="110"/>
      <c r="C13" s="110"/>
      <c r="D13" s="110"/>
      <c r="E13" s="110"/>
      <c r="F13" s="110"/>
      <c r="G13" s="110"/>
      <c r="H13" s="110"/>
      <c r="I13" s="110"/>
      <c r="J13" s="110"/>
      <c r="K13" s="110"/>
      <c r="L13" s="110"/>
    </row>
    <row r="14" spans="1:12" x14ac:dyDescent="0.25">
      <c r="A14" s="110" t="s">
        <v>391</v>
      </c>
      <c r="B14" s="110"/>
      <c r="C14" s="110"/>
      <c r="D14" s="110"/>
      <c r="E14" s="110"/>
      <c r="F14" s="110"/>
      <c r="G14" s="110"/>
      <c r="H14" s="110"/>
      <c r="I14" s="110"/>
      <c r="J14" s="110"/>
      <c r="K14" s="110"/>
      <c r="L14" s="110"/>
    </row>
    <row r="15" spans="1:12" x14ac:dyDescent="0.25">
      <c r="A15" s="110" t="s">
        <v>392</v>
      </c>
      <c r="B15" s="110"/>
      <c r="C15" s="110"/>
      <c r="D15" s="110"/>
      <c r="E15" s="110"/>
      <c r="F15" s="110"/>
      <c r="G15" s="110"/>
      <c r="H15" s="110"/>
      <c r="I15" s="110"/>
      <c r="J15" s="110"/>
      <c r="K15" s="110"/>
      <c r="L15" s="110"/>
    </row>
    <row r="16" spans="1:12" x14ac:dyDescent="0.25">
      <c r="A16" s="110" t="s">
        <v>393</v>
      </c>
      <c r="B16" s="110"/>
      <c r="C16" s="110"/>
      <c r="D16" s="110"/>
      <c r="E16" s="110"/>
      <c r="F16" s="110"/>
      <c r="G16" s="110"/>
      <c r="H16" s="110"/>
      <c r="I16" s="110"/>
      <c r="J16" s="110"/>
      <c r="K16" s="110"/>
      <c r="L16" s="110"/>
    </row>
    <row r="17" spans="1:12" x14ac:dyDescent="0.25">
      <c r="A17" s="110" t="s">
        <v>394</v>
      </c>
      <c r="B17" s="110"/>
      <c r="C17" s="110"/>
      <c r="D17" s="110"/>
      <c r="E17" s="110"/>
      <c r="F17" s="110"/>
      <c r="G17" s="110"/>
      <c r="H17" s="110"/>
      <c r="I17" s="110"/>
      <c r="J17" s="110"/>
      <c r="K17" s="110"/>
      <c r="L17" s="110"/>
    </row>
    <row r="18" spans="1:12" x14ac:dyDescent="0.25">
      <c r="A18" s="110" t="s">
        <v>395</v>
      </c>
      <c r="B18" s="110"/>
      <c r="C18" s="110"/>
      <c r="D18" s="110"/>
      <c r="E18" s="110"/>
      <c r="F18" s="110"/>
      <c r="G18" s="110"/>
      <c r="H18" s="110"/>
      <c r="I18" s="110"/>
      <c r="J18" s="110"/>
      <c r="K18" s="110"/>
      <c r="L18" s="110"/>
    </row>
    <row r="19" spans="1:12" x14ac:dyDescent="0.25">
      <c r="A19" s="110" t="s">
        <v>396</v>
      </c>
      <c r="B19" s="110"/>
      <c r="C19" s="110"/>
      <c r="D19" s="110"/>
      <c r="E19" s="110"/>
      <c r="F19" s="110"/>
      <c r="G19" s="110"/>
      <c r="H19" s="110"/>
      <c r="I19" s="110"/>
      <c r="J19" s="110"/>
      <c r="K19" s="110"/>
      <c r="L19" s="110"/>
    </row>
    <row r="20" spans="1:12" x14ac:dyDescent="0.25">
      <c r="A20" s="110" t="s">
        <v>397</v>
      </c>
      <c r="B20" s="110"/>
      <c r="C20" s="110"/>
      <c r="D20" s="110"/>
      <c r="E20" s="110"/>
      <c r="F20" s="110"/>
      <c r="G20" s="110"/>
      <c r="H20" s="110"/>
      <c r="I20" s="110"/>
      <c r="J20" s="110"/>
      <c r="K20" s="110"/>
      <c r="L20" s="110"/>
    </row>
    <row r="21" spans="1:12" x14ac:dyDescent="0.25">
      <c r="A21" s="110" t="s">
        <v>398</v>
      </c>
      <c r="B21" s="110"/>
      <c r="C21" s="110"/>
      <c r="D21" s="110"/>
      <c r="E21" s="110"/>
      <c r="F21" s="110"/>
      <c r="G21" s="110"/>
      <c r="H21" s="110"/>
      <c r="I21" s="110"/>
      <c r="J21" s="110"/>
      <c r="K21" s="110"/>
      <c r="L21" s="110"/>
    </row>
    <row r="22" spans="1:12" x14ac:dyDescent="0.25">
      <c r="A22" s="110" t="s">
        <v>399</v>
      </c>
      <c r="B22" s="110"/>
      <c r="C22" s="110"/>
      <c r="D22" s="110"/>
      <c r="E22" s="110"/>
      <c r="F22" s="110"/>
      <c r="G22" s="110"/>
      <c r="H22" s="110"/>
      <c r="I22" s="110"/>
      <c r="J22" s="110"/>
      <c r="K22" s="110"/>
      <c r="L22" s="110"/>
    </row>
    <row r="23" spans="1:12" x14ac:dyDescent="0.25">
      <c r="A23" s="110" t="s">
        <v>400</v>
      </c>
      <c r="B23" s="110"/>
      <c r="C23" s="110"/>
      <c r="D23" s="110"/>
      <c r="E23" s="110"/>
      <c r="F23" s="110"/>
      <c r="G23" s="110"/>
      <c r="H23" s="110"/>
      <c r="I23" s="110"/>
      <c r="J23" s="110"/>
      <c r="K23" s="110"/>
      <c r="L23" s="110"/>
    </row>
    <row r="24" spans="1:12" x14ac:dyDescent="0.25">
      <c r="A24" s="110" t="s">
        <v>401</v>
      </c>
      <c r="B24" s="110"/>
      <c r="C24" s="110"/>
      <c r="D24" s="110"/>
      <c r="E24" s="110"/>
      <c r="F24" s="110"/>
      <c r="G24" s="110"/>
      <c r="H24" s="110"/>
      <c r="I24" s="110"/>
      <c r="J24" s="110"/>
      <c r="K24" s="110"/>
      <c r="L24" s="110"/>
    </row>
    <row r="25" spans="1:12" x14ac:dyDescent="0.25">
      <c r="A25" s="110" t="s">
        <v>402</v>
      </c>
      <c r="B25" s="110"/>
      <c r="C25" s="110"/>
      <c r="D25" s="110"/>
      <c r="E25" s="110"/>
      <c r="F25" s="110"/>
      <c r="G25" s="110"/>
      <c r="H25" s="110"/>
      <c r="I25" s="110"/>
      <c r="J25" s="110"/>
      <c r="K25" s="110"/>
      <c r="L25" s="110"/>
    </row>
    <row r="26" spans="1:12" x14ac:dyDescent="0.25">
      <c r="A26" s="110" t="s">
        <v>403</v>
      </c>
      <c r="B26" s="110"/>
      <c r="C26" s="110"/>
      <c r="D26" s="110"/>
      <c r="E26" s="110"/>
      <c r="F26" s="110"/>
      <c r="G26" s="110"/>
      <c r="H26" s="110"/>
      <c r="I26" s="110"/>
      <c r="J26" s="110"/>
      <c r="K26" s="110"/>
      <c r="L26" s="110"/>
    </row>
    <row r="27" spans="1:12" x14ac:dyDescent="0.25">
      <c r="A27" s="110" t="s">
        <v>404</v>
      </c>
      <c r="B27" s="110"/>
      <c r="C27" s="110"/>
      <c r="D27" s="110"/>
      <c r="E27" s="110"/>
      <c r="F27" s="110"/>
      <c r="G27" s="110"/>
      <c r="H27" s="110"/>
      <c r="I27" s="110"/>
      <c r="J27" s="110"/>
      <c r="K27" s="110"/>
      <c r="L27" s="110"/>
    </row>
    <row r="28" spans="1:12" x14ac:dyDescent="0.25">
      <c r="A28" s="110" t="s">
        <v>405</v>
      </c>
      <c r="B28" s="110"/>
      <c r="C28" s="110"/>
      <c r="D28" s="110"/>
      <c r="E28" s="110"/>
      <c r="F28" s="110"/>
      <c r="G28" s="110"/>
      <c r="H28" s="110"/>
      <c r="I28" s="110"/>
      <c r="J28" s="110"/>
      <c r="K28" s="110"/>
      <c r="L28" s="110"/>
    </row>
    <row r="29" spans="1:12" x14ac:dyDescent="0.25">
      <c r="A29" s="110" t="s">
        <v>406</v>
      </c>
      <c r="B29" s="110"/>
      <c r="C29" s="110"/>
      <c r="D29" s="110"/>
      <c r="E29" s="110"/>
      <c r="F29" s="110"/>
      <c r="G29" s="110"/>
      <c r="H29" s="110"/>
      <c r="I29" s="110"/>
      <c r="J29" s="110"/>
      <c r="K29" s="110"/>
      <c r="L29" s="110"/>
    </row>
    <row r="30" spans="1:12" x14ac:dyDescent="0.25">
      <c r="A30" s="110" t="s">
        <v>407</v>
      </c>
      <c r="B30" s="110"/>
      <c r="C30" s="110"/>
      <c r="D30" s="110"/>
      <c r="E30" s="110"/>
      <c r="F30" s="110"/>
      <c r="G30" s="110"/>
      <c r="H30" s="110"/>
      <c r="I30" s="110"/>
      <c r="J30" s="110"/>
      <c r="K30" s="110"/>
      <c r="L30" s="110"/>
    </row>
    <row r="31" spans="1:12" x14ac:dyDescent="0.25">
      <c r="A31" s="110" t="s">
        <v>408</v>
      </c>
      <c r="B31" s="110"/>
      <c r="C31" s="110"/>
      <c r="D31" s="110"/>
      <c r="E31" s="110"/>
      <c r="F31" s="110"/>
      <c r="G31" s="110"/>
      <c r="H31" s="110"/>
      <c r="I31" s="110"/>
      <c r="J31" s="110"/>
      <c r="K31" s="110"/>
      <c r="L31" s="110"/>
    </row>
    <row r="32" spans="1:12" x14ac:dyDescent="0.25">
      <c r="A32" s="110" t="s">
        <v>409</v>
      </c>
      <c r="B32" s="110"/>
      <c r="C32" s="110"/>
      <c r="D32" s="110"/>
      <c r="E32" s="110"/>
      <c r="F32" s="110"/>
      <c r="G32" s="110"/>
      <c r="H32" s="110"/>
      <c r="I32" s="110"/>
      <c r="J32" s="110"/>
      <c r="K32" s="110"/>
      <c r="L32" s="110"/>
    </row>
    <row r="33" spans="1:12" x14ac:dyDescent="0.25">
      <c r="A33" s="110" t="s">
        <v>410</v>
      </c>
      <c r="B33" s="110"/>
      <c r="C33" s="110"/>
      <c r="D33" s="110"/>
      <c r="E33" s="110"/>
      <c r="F33" s="110"/>
      <c r="G33" s="110"/>
      <c r="H33" s="110"/>
      <c r="I33" s="110"/>
      <c r="J33" s="110"/>
      <c r="K33" s="110"/>
      <c r="L33" s="110"/>
    </row>
    <row r="34" spans="1:12" x14ac:dyDescent="0.25">
      <c r="A34" s="110" t="s">
        <v>411</v>
      </c>
      <c r="B34" s="110"/>
      <c r="C34" s="110"/>
      <c r="D34" s="110"/>
      <c r="E34" s="110"/>
      <c r="F34" s="110"/>
      <c r="G34" s="110"/>
      <c r="H34" s="110"/>
      <c r="I34" s="110"/>
      <c r="J34" s="110"/>
      <c r="K34" s="110"/>
      <c r="L34" s="110"/>
    </row>
    <row r="35" spans="1:12" x14ac:dyDescent="0.25">
      <c r="A35" s="110" t="s">
        <v>412</v>
      </c>
      <c r="B35" s="110"/>
      <c r="C35" s="110"/>
      <c r="D35" s="110"/>
      <c r="E35" s="110"/>
      <c r="F35" s="110"/>
      <c r="G35" s="110"/>
      <c r="H35" s="110"/>
      <c r="I35" s="110"/>
      <c r="J35" s="110"/>
      <c r="K35" s="110"/>
      <c r="L35" s="110"/>
    </row>
    <row r="36" spans="1:12" x14ac:dyDescent="0.25">
      <c r="A36" s="110" t="s">
        <v>413</v>
      </c>
      <c r="B36" s="110"/>
      <c r="C36" s="110"/>
      <c r="D36" s="110"/>
      <c r="E36" s="110"/>
      <c r="F36" s="110"/>
      <c r="G36" s="110"/>
      <c r="H36" s="110"/>
      <c r="I36" s="110"/>
      <c r="J36" s="110"/>
      <c r="K36" s="110"/>
      <c r="L36" s="110"/>
    </row>
    <row r="37" spans="1:12" x14ac:dyDescent="0.25">
      <c r="A37" s="110" t="s">
        <v>414</v>
      </c>
      <c r="B37" s="110"/>
      <c r="C37" s="110"/>
      <c r="D37" s="110"/>
      <c r="E37" s="110"/>
      <c r="F37" s="110"/>
      <c r="G37" s="110"/>
      <c r="H37" s="110"/>
      <c r="I37" s="110"/>
      <c r="J37" s="110"/>
      <c r="K37" s="110"/>
      <c r="L37" s="110"/>
    </row>
    <row r="38" spans="1:12" x14ac:dyDescent="0.25">
      <c r="A38" s="110" t="s">
        <v>415</v>
      </c>
      <c r="B38" s="110"/>
      <c r="C38" s="110"/>
      <c r="D38" s="110"/>
      <c r="E38" s="110"/>
      <c r="F38" s="110"/>
      <c r="G38" s="110"/>
      <c r="H38" s="110"/>
      <c r="I38" s="110"/>
      <c r="J38" s="110"/>
      <c r="K38" s="110"/>
      <c r="L38" s="110"/>
    </row>
    <row r="39" spans="1:12" x14ac:dyDescent="0.25">
      <c r="A39" s="110" t="s">
        <v>416</v>
      </c>
      <c r="B39" s="110"/>
      <c r="C39" s="110"/>
      <c r="D39" s="110"/>
      <c r="E39" s="110"/>
      <c r="F39" s="110"/>
      <c r="G39" s="110"/>
      <c r="H39" s="110"/>
      <c r="I39" s="110"/>
      <c r="J39" s="110"/>
      <c r="K39" s="110"/>
      <c r="L39" s="110"/>
    </row>
    <row r="40" spans="1:12" x14ac:dyDescent="0.25">
      <c r="A40" s="11"/>
      <c r="B40" s="11"/>
      <c r="C40" s="11"/>
      <c r="D40" s="11"/>
      <c r="E40" s="11"/>
      <c r="F40" s="11"/>
      <c r="G40" s="11"/>
      <c r="H40" s="11"/>
      <c r="I40" s="11"/>
      <c r="J40" s="11"/>
      <c r="K40" s="11"/>
      <c r="L40" s="11"/>
    </row>
    <row r="41" spans="1:12" ht="15.75" x14ac:dyDescent="0.25">
      <c r="A41" s="111" t="s">
        <v>116</v>
      </c>
      <c r="B41" s="111"/>
      <c r="C41" s="111"/>
      <c r="D41" s="111"/>
      <c r="E41" s="111"/>
      <c r="F41" s="111"/>
      <c r="G41" s="111"/>
      <c r="H41" s="111"/>
      <c r="I41" s="111"/>
      <c r="J41" s="111"/>
      <c r="K41" s="111"/>
      <c r="L41" s="111"/>
    </row>
    <row r="42" spans="1:12" x14ac:dyDescent="0.25">
      <c r="A42" s="110" t="s">
        <v>417</v>
      </c>
      <c r="B42" s="110"/>
      <c r="C42" s="110"/>
      <c r="D42" s="110"/>
      <c r="E42" s="110"/>
      <c r="F42" s="110"/>
      <c r="G42" s="110"/>
      <c r="H42" s="110"/>
      <c r="I42" s="110"/>
      <c r="J42" s="110"/>
      <c r="K42" s="110"/>
      <c r="L42" s="110"/>
    </row>
    <row r="43" spans="1:12" x14ac:dyDescent="0.25">
      <c r="A43" s="110" t="s">
        <v>418</v>
      </c>
      <c r="B43" s="110"/>
      <c r="C43" s="110"/>
      <c r="D43" s="110"/>
      <c r="E43" s="110"/>
      <c r="F43" s="110"/>
      <c r="G43" s="110"/>
      <c r="H43" s="110"/>
      <c r="I43" s="110"/>
      <c r="J43" s="110"/>
      <c r="K43" s="110"/>
      <c r="L43" s="110"/>
    </row>
    <row r="44" spans="1:12" x14ac:dyDescent="0.25">
      <c r="A44" s="110" t="s">
        <v>419</v>
      </c>
      <c r="B44" s="110"/>
      <c r="C44" s="110"/>
      <c r="D44" s="110"/>
      <c r="E44" s="110"/>
      <c r="F44" s="110"/>
      <c r="G44" s="110"/>
      <c r="H44" s="110"/>
      <c r="I44" s="110"/>
      <c r="J44" s="110"/>
      <c r="K44" s="110"/>
      <c r="L44" s="110"/>
    </row>
    <row r="45" spans="1:12" x14ac:dyDescent="0.25">
      <c r="A45" s="110" t="s">
        <v>420</v>
      </c>
      <c r="B45" s="110"/>
      <c r="C45" s="110"/>
      <c r="D45" s="110"/>
      <c r="E45" s="110"/>
      <c r="F45" s="110"/>
      <c r="G45" s="110"/>
      <c r="H45" s="110"/>
      <c r="I45" s="110"/>
      <c r="J45" s="110"/>
      <c r="K45" s="110"/>
      <c r="L45" s="110"/>
    </row>
    <row r="46" spans="1:12" x14ac:dyDescent="0.25">
      <c r="A46" s="110" t="s">
        <v>421</v>
      </c>
      <c r="B46" s="110"/>
      <c r="C46" s="110"/>
      <c r="D46" s="110"/>
      <c r="E46" s="110"/>
      <c r="F46" s="110"/>
      <c r="G46" s="110"/>
      <c r="H46" s="110"/>
      <c r="I46" s="110"/>
      <c r="J46" s="110"/>
      <c r="K46" s="110"/>
      <c r="L46" s="110"/>
    </row>
    <row r="47" spans="1:12" x14ac:dyDescent="0.25">
      <c r="A47" s="110" t="s">
        <v>422</v>
      </c>
      <c r="B47" s="110"/>
      <c r="C47" s="110"/>
      <c r="D47" s="110"/>
      <c r="E47" s="110"/>
      <c r="F47" s="110"/>
      <c r="G47" s="110"/>
      <c r="H47" s="110"/>
      <c r="I47" s="110"/>
      <c r="J47" s="110"/>
      <c r="K47" s="110"/>
      <c r="L47" s="110"/>
    </row>
    <row r="48" spans="1:12" x14ac:dyDescent="0.25">
      <c r="A48" s="110" t="s">
        <v>423</v>
      </c>
      <c r="B48" s="110"/>
      <c r="C48" s="110"/>
      <c r="D48" s="110"/>
      <c r="E48" s="110"/>
      <c r="F48" s="110"/>
      <c r="G48" s="110"/>
      <c r="H48" s="110"/>
      <c r="I48" s="110"/>
      <c r="J48" s="110"/>
      <c r="K48" s="110"/>
      <c r="L48" s="110"/>
    </row>
    <row r="49" spans="1:12" x14ac:dyDescent="0.25">
      <c r="A49" s="110" t="s">
        <v>424</v>
      </c>
      <c r="B49" s="110"/>
      <c r="C49" s="110"/>
      <c r="D49" s="110"/>
      <c r="E49" s="110"/>
      <c r="F49" s="110"/>
      <c r="G49" s="110"/>
      <c r="H49" s="110"/>
      <c r="I49" s="110"/>
      <c r="J49" s="110"/>
      <c r="K49" s="110"/>
      <c r="L49" s="110"/>
    </row>
    <row r="50" spans="1:12" x14ac:dyDescent="0.25">
      <c r="A50" s="110" t="s">
        <v>425</v>
      </c>
      <c r="B50" s="110"/>
      <c r="C50" s="110"/>
      <c r="D50" s="110"/>
      <c r="E50" s="110"/>
      <c r="F50" s="110"/>
      <c r="G50" s="110"/>
      <c r="H50" s="110"/>
      <c r="I50" s="110"/>
      <c r="J50" s="110"/>
      <c r="K50" s="110"/>
      <c r="L50" s="110"/>
    </row>
    <row r="51" spans="1:12" x14ac:dyDescent="0.25">
      <c r="A51" s="110" t="s">
        <v>426</v>
      </c>
      <c r="B51" s="110"/>
      <c r="C51" s="110"/>
      <c r="D51" s="110"/>
      <c r="E51" s="110"/>
      <c r="F51" s="110"/>
      <c r="G51" s="110"/>
      <c r="H51" s="110"/>
      <c r="I51" s="110"/>
      <c r="J51" s="110"/>
      <c r="K51" s="110"/>
      <c r="L51" s="110"/>
    </row>
    <row r="52" spans="1:12" x14ac:dyDescent="0.25">
      <c r="A52" s="110" t="s">
        <v>427</v>
      </c>
      <c r="B52" s="110"/>
      <c r="C52" s="110"/>
      <c r="D52" s="110"/>
      <c r="E52" s="110"/>
      <c r="F52" s="110"/>
      <c r="G52" s="110"/>
      <c r="H52" s="110"/>
      <c r="I52" s="110"/>
      <c r="J52" s="110"/>
      <c r="K52" s="110"/>
      <c r="L52" s="110"/>
    </row>
    <row r="53" spans="1:12" x14ac:dyDescent="0.25">
      <c r="A53" s="110" t="s">
        <v>428</v>
      </c>
      <c r="B53" s="110"/>
      <c r="C53" s="110"/>
      <c r="D53" s="110"/>
      <c r="E53" s="110"/>
      <c r="F53" s="110"/>
      <c r="G53" s="110"/>
      <c r="H53" s="110"/>
      <c r="I53" s="110"/>
      <c r="J53" s="110"/>
      <c r="K53" s="110"/>
      <c r="L53" s="110"/>
    </row>
    <row r="54" spans="1:12" x14ac:dyDescent="0.25">
      <c r="A54" s="110" t="s">
        <v>429</v>
      </c>
      <c r="B54" s="110"/>
      <c r="C54" s="110"/>
      <c r="D54" s="110"/>
      <c r="E54" s="110"/>
      <c r="F54" s="110"/>
      <c r="G54" s="110"/>
      <c r="H54" s="110"/>
      <c r="I54" s="110"/>
      <c r="J54" s="110"/>
      <c r="K54" s="110"/>
      <c r="L54" s="110"/>
    </row>
    <row r="55" spans="1:12" x14ac:dyDescent="0.25">
      <c r="A55" s="110" t="s">
        <v>430</v>
      </c>
      <c r="B55" s="110"/>
      <c r="C55" s="110"/>
      <c r="D55" s="110"/>
      <c r="E55" s="110"/>
      <c r="F55" s="110"/>
      <c r="G55" s="110"/>
      <c r="H55" s="110"/>
      <c r="I55" s="110"/>
      <c r="J55" s="110"/>
      <c r="K55" s="110"/>
      <c r="L55" s="110"/>
    </row>
    <row r="56" spans="1:12" x14ac:dyDescent="0.25">
      <c r="A56" s="110" t="s">
        <v>431</v>
      </c>
      <c r="B56" s="110"/>
      <c r="C56" s="110"/>
      <c r="D56" s="110"/>
      <c r="E56" s="110"/>
      <c r="F56" s="110"/>
      <c r="G56" s="110"/>
      <c r="H56" s="110"/>
      <c r="I56" s="110"/>
      <c r="J56" s="110"/>
      <c r="K56" s="110"/>
      <c r="L56" s="110"/>
    </row>
    <row r="57" spans="1:12" x14ac:dyDescent="0.25">
      <c r="A57" s="110" t="s">
        <v>432</v>
      </c>
      <c r="B57" s="110"/>
      <c r="C57" s="110"/>
      <c r="D57" s="110"/>
      <c r="E57" s="110"/>
      <c r="F57" s="110"/>
      <c r="G57" s="110"/>
      <c r="H57" s="110"/>
      <c r="I57" s="110"/>
      <c r="J57" s="110"/>
      <c r="K57" s="110"/>
      <c r="L57" s="110"/>
    </row>
    <row r="58" spans="1:12" x14ac:dyDescent="0.25">
      <c r="A58" s="110" t="s">
        <v>433</v>
      </c>
      <c r="B58" s="110"/>
      <c r="C58" s="110"/>
      <c r="D58" s="110"/>
      <c r="E58" s="110"/>
      <c r="F58" s="110"/>
      <c r="G58" s="110"/>
      <c r="H58" s="110"/>
      <c r="I58" s="110"/>
      <c r="J58" s="110"/>
      <c r="K58" s="110"/>
      <c r="L58" s="110"/>
    </row>
    <row r="59" spans="1:12" x14ac:dyDescent="0.25">
      <c r="A59" s="110" t="s">
        <v>434</v>
      </c>
      <c r="B59" s="110"/>
      <c r="C59" s="110"/>
      <c r="D59" s="110"/>
      <c r="E59" s="110"/>
      <c r="F59" s="110"/>
      <c r="G59" s="110"/>
      <c r="H59" s="110"/>
      <c r="I59" s="110"/>
      <c r="J59" s="110"/>
      <c r="K59" s="110"/>
      <c r="L59" s="110"/>
    </row>
    <row r="60" spans="1:12" x14ac:dyDescent="0.25">
      <c r="A60" s="110" t="s">
        <v>435</v>
      </c>
      <c r="B60" s="110"/>
      <c r="C60" s="110"/>
      <c r="D60" s="110"/>
      <c r="E60" s="110"/>
      <c r="F60" s="110"/>
      <c r="G60" s="110"/>
      <c r="H60" s="110"/>
      <c r="I60" s="110"/>
      <c r="J60" s="110"/>
      <c r="K60" s="110"/>
      <c r="L60" s="110"/>
    </row>
    <row r="61" spans="1:12" x14ac:dyDescent="0.25">
      <c r="A61" s="110" t="s">
        <v>436</v>
      </c>
      <c r="B61" s="110"/>
      <c r="C61" s="110"/>
      <c r="D61" s="110"/>
      <c r="E61" s="110"/>
      <c r="F61" s="110"/>
      <c r="G61" s="110"/>
      <c r="H61" s="110"/>
      <c r="I61" s="110"/>
      <c r="J61" s="110"/>
      <c r="K61" s="110"/>
      <c r="L61" s="110"/>
    </row>
    <row r="62" spans="1:12" x14ac:dyDescent="0.25">
      <c r="A62" s="11"/>
      <c r="B62" s="11"/>
      <c r="C62" s="11"/>
      <c r="D62" s="11"/>
      <c r="E62" s="11"/>
      <c r="F62" s="11"/>
      <c r="G62" s="11"/>
      <c r="H62" s="11"/>
      <c r="I62" s="11"/>
      <c r="J62" s="11"/>
      <c r="K62" s="11"/>
      <c r="L62" s="11"/>
    </row>
    <row r="63" spans="1:12" ht="15.75" x14ac:dyDescent="0.25">
      <c r="A63" s="111" t="s">
        <v>154</v>
      </c>
      <c r="B63" s="111"/>
      <c r="C63" s="111"/>
      <c r="D63" s="111"/>
      <c r="E63" s="111"/>
      <c r="F63" s="111"/>
      <c r="G63" s="111"/>
      <c r="H63" s="111"/>
      <c r="I63" s="111"/>
      <c r="J63" s="111"/>
      <c r="K63" s="111"/>
      <c r="L63" s="111"/>
    </row>
    <row r="64" spans="1:12" x14ac:dyDescent="0.25">
      <c r="A64" s="110" t="s">
        <v>384</v>
      </c>
      <c r="B64" s="110"/>
      <c r="C64" s="110"/>
      <c r="D64" s="110"/>
      <c r="E64" s="110"/>
      <c r="F64" s="110"/>
      <c r="G64" s="110"/>
      <c r="H64" s="110"/>
      <c r="I64" s="110"/>
      <c r="J64" s="110"/>
      <c r="K64" s="110"/>
      <c r="L64" s="110"/>
    </row>
    <row r="65" spans="1:12" x14ac:dyDescent="0.25">
      <c r="A65" s="110" t="s">
        <v>437</v>
      </c>
      <c r="B65" s="110"/>
      <c r="C65" s="110"/>
      <c r="D65" s="110"/>
      <c r="E65" s="110"/>
      <c r="F65" s="110"/>
      <c r="G65" s="110"/>
      <c r="H65" s="110"/>
      <c r="I65" s="110"/>
      <c r="J65" s="110"/>
      <c r="K65" s="110"/>
      <c r="L65" s="110"/>
    </row>
    <row r="66" spans="1:12" x14ac:dyDescent="0.25">
      <c r="A66" s="110" t="s">
        <v>438</v>
      </c>
      <c r="B66" s="110"/>
      <c r="C66" s="110"/>
      <c r="D66" s="110"/>
      <c r="E66" s="110"/>
      <c r="F66" s="110"/>
      <c r="G66" s="110"/>
      <c r="H66" s="110"/>
      <c r="I66" s="110"/>
      <c r="J66" s="110"/>
      <c r="K66" s="110"/>
      <c r="L66" s="110"/>
    </row>
    <row r="67" spans="1:12" x14ac:dyDescent="0.25">
      <c r="A67" s="110" t="s">
        <v>439</v>
      </c>
      <c r="B67" s="110"/>
      <c r="C67" s="110"/>
      <c r="D67" s="110"/>
      <c r="E67" s="110"/>
      <c r="F67" s="110"/>
      <c r="G67" s="110"/>
      <c r="H67" s="110"/>
      <c r="I67" s="110"/>
      <c r="J67" s="110"/>
      <c r="K67" s="110"/>
      <c r="L67" s="110"/>
    </row>
    <row r="68" spans="1:12" x14ac:dyDescent="0.25">
      <c r="A68" s="110" t="s">
        <v>440</v>
      </c>
      <c r="B68" s="110"/>
      <c r="C68" s="110"/>
      <c r="D68" s="110"/>
      <c r="E68" s="110"/>
      <c r="F68" s="110"/>
      <c r="G68" s="110"/>
      <c r="H68" s="110"/>
      <c r="I68" s="110"/>
      <c r="J68" s="110"/>
      <c r="K68" s="110"/>
      <c r="L68" s="110"/>
    </row>
    <row r="69" spans="1:12" x14ac:dyDescent="0.25">
      <c r="A69" s="11"/>
      <c r="B69" s="11"/>
      <c r="C69" s="11"/>
      <c r="D69" s="11"/>
      <c r="E69" s="11"/>
      <c r="F69" s="11"/>
      <c r="G69" s="11"/>
      <c r="H69" s="11"/>
      <c r="I69" s="11"/>
      <c r="J69" s="11"/>
      <c r="K69" s="11"/>
      <c r="L69" s="11"/>
    </row>
    <row r="70" spans="1:12" ht="15.75" x14ac:dyDescent="0.25">
      <c r="A70" s="111" t="s">
        <v>441</v>
      </c>
      <c r="B70" s="111"/>
      <c r="C70" s="111"/>
      <c r="D70" s="111"/>
      <c r="E70" s="111"/>
      <c r="F70" s="111"/>
      <c r="G70" s="111"/>
      <c r="H70" s="111"/>
      <c r="I70" s="111"/>
      <c r="J70" s="111"/>
      <c r="K70" s="111"/>
      <c r="L70" s="111"/>
    </row>
    <row r="71" spans="1:12" x14ac:dyDescent="0.25">
      <c r="A71" s="110" t="s">
        <v>442</v>
      </c>
      <c r="B71" s="110"/>
      <c r="C71" s="110"/>
      <c r="D71" s="110"/>
      <c r="E71" s="110"/>
      <c r="F71" s="110"/>
      <c r="G71" s="110"/>
      <c r="H71" s="110"/>
      <c r="I71" s="110"/>
      <c r="J71" s="110"/>
      <c r="K71" s="110"/>
      <c r="L71" s="110"/>
    </row>
    <row r="72" spans="1:12" x14ac:dyDescent="0.25">
      <c r="A72" s="110" t="s">
        <v>443</v>
      </c>
      <c r="B72" s="110"/>
      <c r="C72" s="110"/>
      <c r="D72" s="110"/>
      <c r="E72" s="110"/>
      <c r="F72" s="110"/>
      <c r="G72" s="110"/>
      <c r="H72" s="110"/>
      <c r="I72" s="110"/>
      <c r="J72" s="110"/>
      <c r="K72" s="110"/>
      <c r="L72" s="110"/>
    </row>
    <row r="73" spans="1:12" x14ac:dyDescent="0.25">
      <c r="A73" s="110" t="s">
        <v>444</v>
      </c>
      <c r="B73" s="110"/>
      <c r="C73" s="110"/>
      <c r="D73" s="110"/>
      <c r="E73" s="110"/>
      <c r="F73" s="110"/>
      <c r="G73" s="110"/>
      <c r="H73" s="110"/>
      <c r="I73" s="110"/>
      <c r="J73" s="110"/>
      <c r="K73" s="110"/>
      <c r="L73" s="110"/>
    </row>
    <row r="74" spans="1:12" x14ac:dyDescent="0.25">
      <c r="A74" s="11"/>
      <c r="B74" s="11"/>
      <c r="C74" s="11"/>
      <c r="D74" s="11"/>
      <c r="E74" s="11"/>
      <c r="F74" s="11"/>
      <c r="G74" s="11"/>
      <c r="H74" s="11"/>
      <c r="I74" s="11"/>
      <c r="J74" s="11"/>
      <c r="K74" s="11"/>
      <c r="L74" s="11"/>
    </row>
    <row r="75" spans="1:12" ht="15.75" x14ac:dyDescent="0.25">
      <c r="A75" s="111" t="s">
        <v>218</v>
      </c>
      <c r="B75" s="111"/>
      <c r="C75" s="111"/>
      <c r="D75" s="111"/>
      <c r="E75" s="111"/>
      <c r="F75" s="111"/>
      <c r="G75" s="111"/>
      <c r="H75" s="111"/>
      <c r="I75" s="111"/>
      <c r="J75" s="111"/>
      <c r="K75" s="111"/>
      <c r="L75" s="111"/>
    </row>
    <row r="76" spans="1:12" x14ac:dyDescent="0.25">
      <c r="A76" s="110" t="s">
        <v>445</v>
      </c>
      <c r="B76" s="110"/>
      <c r="C76" s="110"/>
      <c r="D76" s="110"/>
      <c r="E76" s="110"/>
      <c r="F76" s="110"/>
      <c r="G76" s="110"/>
      <c r="H76" s="110"/>
      <c r="I76" s="110"/>
      <c r="J76" s="110"/>
      <c r="K76" s="110"/>
      <c r="L76" s="110"/>
    </row>
    <row r="77" spans="1:12" x14ac:dyDescent="0.25">
      <c r="A77" s="110" t="s">
        <v>446</v>
      </c>
      <c r="B77" s="110"/>
      <c r="C77" s="110"/>
      <c r="D77" s="110"/>
      <c r="E77" s="110"/>
      <c r="F77" s="110"/>
      <c r="G77" s="110"/>
      <c r="H77" s="110"/>
      <c r="I77" s="110"/>
      <c r="J77" s="110"/>
      <c r="K77" s="110"/>
      <c r="L77" s="110"/>
    </row>
    <row r="78" spans="1:12" x14ac:dyDescent="0.25">
      <c r="A78" s="110" t="s">
        <v>447</v>
      </c>
      <c r="B78" s="110"/>
      <c r="C78" s="110"/>
      <c r="D78" s="110"/>
      <c r="E78" s="110"/>
      <c r="F78" s="110"/>
      <c r="G78" s="110"/>
      <c r="H78" s="110"/>
      <c r="I78" s="110"/>
      <c r="J78" s="110"/>
      <c r="K78" s="110"/>
      <c r="L78" s="110"/>
    </row>
    <row r="79" spans="1:12" x14ac:dyDescent="0.25">
      <c r="A79" s="11"/>
      <c r="B79" s="11"/>
      <c r="C79" s="11"/>
      <c r="D79" s="11"/>
      <c r="E79" s="11"/>
      <c r="F79" s="11"/>
      <c r="G79" s="11"/>
      <c r="H79" s="11"/>
      <c r="I79" s="11"/>
      <c r="J79" s="11"/>
      <c r="K79" s="11"/>
      <c r="L79" s="11"/>
    </row>
    <row r="80" spans="1:12" x14ac:dyDescent="0.25">
      <c r="A80" s="11"/>
      <c r="B80" s="11"/>
      <c r="C80" s="11"/>
      <c r="D80" s="11"/>
      <c r="E80" s="11"/>
      <c r="F80" s="11"/>
      <c r="G80" s="11"/>
      <c r="H80" s="11"/>
      <c r="I80" s="11"/>
      <c r="J80" s="11"/>
      <c r="K80" s="11"/>
      <c r="L80" s="11"/>
    </row>
    <row r="81" spans="1:12" x14ac:dyDescent="0.25">
      <c r="A81" s="11"/>
      <c r="B81" s="11"/>
      <c r="C81" s="11"/>
      <c r="D81" s="11"/>
      <c r="E81" s="108" t="s">
        <v>448</v>
      </c>
      <c r="F81" s="108"/>
      <c r="G81" s="108"/>
      <c r="H81" s="108"/>
      <c r="I81" s="11"/>
      <c r="J81" s="11"/>
      <c r="K81" s="11"/>
      <c r="L81" s="11"/>
    </row>
    <row r="82" spans="1:12" x14ac:dyDescent="0.25">
      <c r="A82" s="11"/>
      <c r="B82" s="11"/>
      <c r="C82" s="11"/>
      <c r="D82" s="11"/>
      <c r="E82" s="107" t="s">
        <v>1</v>
      </c>
      <c r="F82" s="107"/>
      <c r="G82" s="107" t="s">
        <v>449</v>
      </c>
      <c r="H82" s="107"/>
      <c r="I82" s="11"/>
      <c r="J82" s="11"/>
      <c r="K82" s="11"/>
      <c r="L82" s="11"/>
    </row>
    <row r="83" spans="1:12" x14ac:dyDescent="0.25">
      <c r="A83" s="11"/>
      <c r="B83" s="11"/>
      <c r="C83" s="11"/>
      <c r="D83" s="11"/>
      <c r="E83" s="106" t="s">
        <v>13</v>
      </c>
      <c r="F83" s="106"/>
      <c r="G83" s="109">
        <v>0.7875294117647057</v>
      </c>
      <c r="H83" s="106"/>
      <c r="I83" s="11"/>
      <c r="J83" s="11"/>
      <c r="K83" s="11"/>
      <c r="L83" s="11"/>
    </row>
    <row r="84" spans="1:12" x14ac:dyDescent="0.25">
      <c r="A84" s="11"/>
      <c r="B84" s="11"/>
      <c r="C84" s="11"/>
      <c r="D84" s="11"/>
      <c r="E84" s="106" t="s">
        <v>116</v>
      </c>
      <c r="F84" s="106"/>
      <c r="G84" s="109">
        <v>0.79644444444444462</v>
      </c>
      <c r="H84" s="106"/>
      <c r="I84" s="11"/>
      <c r="J84" s="11"/>
      <c r="K84" s="11"/>
      <c r="L84" s="11"/>
    </row>
    <row r="85" spans="1:12" x14ac:dyDescent="0.25">
      <c r="A85" s="11"/>
      <c r="B85" s="11"/>
      <c r="C85" s="11"/>
      <c r="D85" s="11"/>
      <c r="E85" s="106" t="s">
        <v>154</v>
      </c>
      <c r="F85" s="106"/>
      <c r="G85" s="109">
        <v>0.31474747474747472</v>
      </c>
      <c r="H85" s="106"/>
      <c r="I85" s="11"/>
      <c r="J85" s="11"/>
      <c r="K85" s="11"/>
      <c r="L85" s="11"/>
    </row>
    <row r="86" spans="1:12" x14ac:dyDescent="0.25">
      <c r="A86" s="11"/>
      <c r="B86" s="11"/>
      <c r="C86" s="11"/>
      <c r="D86" s="11"/>
      <c r="E86" s="106" t="s">
        <v>441</v>
      </c>
      <c r="F86" s="106"/>
      <c r="G86" s="109">
        <v>4.6666666666666669E-2</v>
      </c>
      <c r="H86" s="106"/>
      <c r="I86" s="11"/>
      <c r="J86" s="11"/>
      <c r="K86" s="11"/>
      <c r="L86" s="11"/>
    </row>
    <row r="87" spans="1:12" x14ac:dyDescent="0.25">
      <c r="A87" s="11"/>
      <c r="B87" s="11"/>
      <c r="C87" s="11"/>
      <c r="D87" s="11"/>
      <c r="E87" s="106" t="s">
        <v>214</v>
      </c>
      <c r="F87" s="106"/>
      <c r="G87" s="109">
        <v>3.3333333333333333E-2</v>
      </c>
      <c r="H87" s="106"/>
      <c r="I87" s="11"/>
      <c r="J87" s="11"/>
      <c r="K87" s="11"/>
      <c r="L87" s="11"/>
    </row>
    <row r="88" spans="1:12" x14ac:dyDescent="0.25">
      <c r="A88" s="11"/>
      <c r="B88" s="11"/>
      <c r="C88" s="11"/>
      <c r="D88" s="11"/>
      <c r="E88" s="106" t="s">
        <v>218</v>
      </c>
      <c r="F88" s="106"/>
      <c r="G88" s="109">
        <v>4.3333333333333335E-2</v>
      </c>
      <c r="H88" s="106"/>
      <c r="I88" s="11"/>
      <c r="J88" s="11"/>
      <c r="K88" s="11"/>
      <c r="L88" s="11"/>
    </row>
    <row r="89" spans="1:12" x14ac:dyDescent="0.25">
      <c r="A89" s="11"/>
      <c r="B89" s="11"/>
      <c r="C89" s="11"/>
      <c r="D89" s="11"/>
      <c r="E89" s="11"/>
      <c r="F89" s="11"/>
      <c r="G89" s="11"/>
      <c r="H89" s="11"/>
      <c r="I89" s="11"/>
      <c r="J89" s="11"/>
      <c r="K89" s="11"/>
      <c r="L89" s="11"/>
    </row>
    <row r="90" spans="1:12" x14ac:dyDescent="0.25">
      <c r="A90" s="11"/>
      <c r="B90" s="11"/>
      <c r="C90" s="11"/>
      <c r="D90" s="11"/>
      <c r="E90" s="11"/>
      <c r="F90" s="11"/>
      <c r="G90" s="11"/>
      <c r="H90" s="11"/>
      <c r="I90" s="11"/>
      <c r="J90" s="11"/>
      <c r="K90" s="11"/>
      <c r="L90" s="11"/>
    </row>
    <row r="91" spans="1:12" x14ac:dyDescent="0.25">
      <c r="A91" s="11"/>
      <c r="B91" s="11"/>
      <c r="C91" s="11"/>
      <c r="D91" s="11"/>
      <c r="E91" s="11"/>
      <c r="F91" s="11"/>
      <c r="G91" s="11"/>
      <c r="H91" s="11"/>
      <c r="I91" s="11"/>
      <c r="J91" s="11"/>
      <c r="K91" s="11"/>
      <c r="L91" s="11"/>
    </row>
    <row r="92" spans="1:12" x14ac:dyDescent="0.25">
      <c r="A92" s="11"/>
      <c r="B92" s="11"/>
      <c r="C92" s="11"/>
      <c r="D92" s="11"/>
      <c r="E92" s="11"/>
      <c r="F92" s="11"/>
      <c r="G92" s="11"/>
      <c r="H92" s="11"/>
      <c r="I92" s="11"/>
      <c r="J92" s="11"/>
      <c r="K92" s="11"/>
      <c r="L92" s="11"/>
    </row>
    <row r="93" spans="1:12" x14ac:dyDescent="0.25">
      <c r="A93" s="11"/>
      <c r="B93" s="11"/>
      <c r="C93" s="11"/>
      <c r="D93" s="11"/>
      <c r="E93" s="11"/>
      <c r="F93" s="11"/>
      <c r="G93" s="11"/>
      <c r="H93" s="11"/>
      <c r="I93" s="11"/>
      <c r="J93" s="11"/>
      <c r="K93" s="11"/>
      <c r="L93" s="11"/>
    </row>
    <row r="94" spans="1:12" x14ac:dyDescent="0.25">
      <c r="A94" s="11"/>
      <c r="B94" s="11"/>
      <c r="C94" s="11"/>
      <c r="D94" s="11"/>
      <c r="E94" s="11"/>
      <c r="F94" s="11"/>
      <c r="G94" s="11"/>
      <c r="H94" s="11"/>
      <c r="I94" s="11"/>
      <c r="J94" s="11"/>
      <c r="K94" s="11"/>
      <c r="L94" s="11"/>
    </row>
    <row r="95" spans="1:12" x14ac:dyDescent="0.25">
      <c r="A95" s="11"/>
      <c r="B95" s="11"/>
      <c r="C95" s="11"/>
      <c r="D95" s="11"/>
      <c r="E95" s="11"/>
      <c r="F95" s="11"/>
      <c r="G95" s="11"/>
      <c r="H95" s="11"/>
      <c r="I95" s="11"/>
      <c r="J95" s="11"/>
      <c r="K95" s="11"/>
      <c r="L95" s="11"/>
    </row>
    <row r="96" spans="1:12" x14ac:dyDescent="0.25">
      <c r="A96" s="11"/>
      <c r="B96" s="11"/>
      <c r="C96" s="11"/>
      <c r="D96" s="11"/>
      <c r="E96" s="11"/>
      <c r="F96" s="11"/>
      <c r="G96" s="11"/>
      <c r="H96" s="11"/>
      <c r="I96" s="11"/>
      <c r="J96" s="11"/>
      <c r="K96" s="11"/>
      <c r="L96" s="11"/>
    </row>
    <row r="97" spans="1:12" x14ac:dyDescent="0.25">
      <c r="A97" s="11"/>
      <c r="B97" s="11"/>
      <c r="C97" s="11"/>
      <c r="D97" s="11"/>
      <c r="E97" s="11"/>
      <c r="F97" s="11"/>
      <c r="G97" s="11"/>
      <c r="H97" s="11"/>
      <c r="I97" s="11"/>
      <c r="J97" s="11"/>
      <c r="K97" s="11"/>
      <c r="L97" s="11"/>
    </row>
    <row r="98" spans="1:12" x14ac:dyDescent="0.25">
      <c r="A98" s="11"/>
      <c r="B98" s="11"/>
      <c r="C98" s="11"/>
      <c r="D98" s="11"/>
      <c r="E98" s="11"/>
      <c r="F98" s="11"/>
      <c r="G98" s="11"/>
      <c r="H98" s="11"/>
      <c r="I98" s="11"/>
      <c r="J98" s="11"/>
      <c r="K98" s="11"/>
      <c r="L98" s="11"/>
    </row>
    <row r="99" spans="1:12" x14ac:dyDescent="0.25">
      <c r="A99" s="11"/>
      <c r="B99" s="11"/>
      <c r="C99" s="11"/>
      <c r="D99" s="11"/>
      <c r="E99" s="11"/>
      <c r="F99" s="11"/>
      <c r="G99" s="11"/>
      <c r="H99" s="11"/>
      <c r="I99" s="11"/>
      <c r="J99" s="11"/>
      <c r="K99" s="11"/>
      <c r="L99" s="11"/>
    </row>
    <row r="100" spans="1:12" x14ac:dyDescent="0.25">
      <c r="A100" s="11"/>
      <c r="B100" s="11"/>
      <c r="C100" s="11"/>
      <c r="D100" s="11"/>
      <c r="E100" s="11"/>
      <c r="F100" s="11"/>
      <c r="G100" s="11"/>
      <c r="H100" s="11"/>
      <c r="I100" s="11"/>
      <c r="J100" s="11"/>
      <c r="K100" s="11"/>
      <c r="L100" s="11"/>
    </row>
    <row r="101" spans="1:12" x14ac:dyDescent="0.25">
      <c r="A101" s="11"/>
      <c r="B101" s="11"/>
      <c r="C101" s="11"/>
      <c r="D101" s="11"/>
      <c r="E101" s="11"/>
      <c r="F101" s="11"/>
      <c r="G101" s="11"/>
      <c r="H101" s="11"/>
      <c r="I101" s="11"/>
      <c r="J101" s="11"/>
      <c r="K101" s="11"/>
      <c r="L101" s="11"/>
    </row>
    <row r="102" spans="1:12" x14ac:dyDescent="0.25">
      <c r="A102" s="11"/>
      <c r="B102" s="11"/>
      <c r="C102" s="11"/>
      <c r="D102" s="11"/>
      <c r="E102" s="11"/>
      <c r="F102" s="11"/>
      <c r="G102" s="11"/>
      <c r="H102" s="11"/>
      <c r="I102" s="11"/>
      <c r="J102" s="11"/>
      <c r="K102" s="11"/>
      <c r="L102" s="11"/>
    </row>
    <row r="103" spans="1:12" x14ac:dyDescent="0.25">
      <c r="A103" s="11"/>
      <c r="B103" s="11"/>
      <c r="C103" s="11"/>
      <c r="D103" s="11"/>
      <c r="E103" s="11"/>
      <c r="F103" s="11"/>
      <c r="G103" s="11"/>
      <c r="H103" s="11"/>
      <c r="I103" s="11"/>
      <c r="J103" s="11"/>
      <c r="K103" s="11"/>
      <c r="L103" s="11"/>
    </row>
    <row r="104" spans="1:12" x14ac:dyDescent="0.25">
      <c r="A104" s="11"/>
      <c r="B104" s="11"/>
      <c r="C104" s="11"/>
      <c r="D104" s="11"/>
      <c r="E104" s="11"/>
      <c r="F104" s="11"/>
      <c r="G104" s="11"/>
      <c r="H104" s="11"/>
      <c r="I104" s="11"/>
      <c r="J104" s="11"/>
      <c r="K104" s="11"/>
      <c r="L104" s="11"/>
    </row>
    <row r="105" spans="1:12" x14ac:dyDescent="0.25">
      <c r="A105" s="11"/>
      <c r="B105" s="11"/>
      <c r="C105" s="108" t="s">
        <v>450</v>
      </c>
      <c r="D105" s="108"/>
      <c r="E105" s="108"/>
      <c r="F105" s="108"/>
      <c r="G105" s="108"/>
      <c r="H105" s="108"/>
      <c r="I105" s="108"/>
      <c r="J105" s="108"/>
      <c r="K105" s="11"/>
      <c r="L105" s="11"/>
    </row>
    <row r="106" spans="1:12" ht="45" x14ac:dyDescent="0.25">
      <c r="A106" s="11"/>
      <c r="B106" s="11"/>
      <c r="C106" s="107" t="s">
        <v>1</v>
      </c>
      <c r="D106" s="107"/>
      <c r="E106" s="52" t="s">
        <v>451</v>
      </c>
      <c r="F106" s="52" t="s">
        <v>452</v>
      </c>
      <c r="G106" s="52" t="s">
        <v>453</v>
      </c>
      <c r="H106" s="52" t="s">
        <v>454</v>
      </c>
      <c r="I106" s="52" t="s">
        <v>455</v>
      </c>
      <c r="J106" s="52" t="s">
        <v>449</v>
      </c>
      <c r="K106" s="11"/>
      <c r="L106" s="11"/>
    </row>
    <row r="107" spans="1:12" x14ac:dyDescent="0.25">
      <c r="A107" s="11"/>
      <c r="B107" s="11"/>
      <c r="C107" s="106" t="s">
        <v>13</v>
      </c>
      <c r="D107" s="106"/>
      <c r="E107" s="73">
        <v>1</v>
      </c>
      <c r="F107" s="73">
        <v>1</v>
      </c>
      <c r="G107" s="73">
        <v>1</v>
      </c>
      <c r="H107" s="73">
        <v>1</v>
      </c>
      <c r="I107" s="73">
        <v>1</v>
      </c>
      <c r="J107" s="73">
        <v>1</v>
      </c>
      <c r="K107" s="11"/>
      <c r="L107" s="11"/>
    </row>
    <row r="108" spans="1:12" x14ac:dyDescent="0.25">
      <c r="A108" s="11"/>
      <c r="B108" s="11"/>
      <c r="C108" s="106" t="s">
        <v>116</v>
      </c>
      <c r="D108" s="106"/>
      <c r="E108" s="73">
        <v>1</v>
      </c>
      <c r="F108" s="73">
        <v>1</v>
      </c>
      <c r="G108" s="73">
        <v>1</v>
      </c>
      <c r="H108" s="73">
        <v>1</v>
      </c>
      <c r="I108" s="73">
        <v>0.6</v>
      </c>
      <c r="J108" s="73">
        <v>0.91999999999999993</v>
      </c>
      <c r="K108" s="11"/>
      <c r="L108" s="11"/>
    </row>
    <row r="109" spans="1:12" x14ac:dyDescent="0.25">
      <c r="A109" s="11"/>
      <c r="B109" s="11"/>
      <c r="C109" s="106" t="s">
        <v>154</v>
      </c>
      <c r="D109" s="106"/>
      <c r="E109" s="73">
        <v>1</v>
      </c>
      <c r="F109" s="73">
        <v>1</v>
      </c>
      <c r="G109" s="73">
        <v>1</v>
      </c>
      <c r="H109" s="73">
        <v>1</v>
      </c>
      <c r="I109" s="73">
        <v>1</v>
      </c>
      <c r="J109" s="73">
        <v>1</v>
      </c>
      <c r="K109" s="11"/>
      <c r="L109" s="11"/>
    </row>
    <row r="110" spans="1:12" x14ac:dyDescent="0.25">
      <c r="A110" s="11"/>
      <c r="B110" s="11"/>
      <c r="C110" s="106" t="s">
        <v>441</v>
      </c>
      <c r="D110" s="106"/>
      <c r="E110" s="73">
        <v>1</v>
      </c>
      <c r="F110" s="73">
        <v>0.6</v>
      </c>
      <c r="G110" s="73">
        <v>1</v>
      </c>
      <c r="H110" s="73">
        <v>0.6</v>
      </c>
      <c r="I110" s="73">
        <v>1</v>
      </c>
      <c r="J110" s="73">
        <v>0.84000000000000008</v>
      </c>
      <c r="K110" s="11"/>
      <c r="L110" s="11"/>
    </row>
    <row r="111" spans="1:12" x14ac:dyDescent="0.25">
      <c r="A111" s="11"/>
      <c r="B111" s="11"/>
      <c r="C111" s="106" t="s">
        <v>214</v>
      </c>
      <c r="D111" s="106"/>
      <c r="E111" s="73">
        <v>0.6</v>
      </c>
      <c r="F111" s="73">
        <v>0.6</v>
      </c>
      <c r="G111" s="73">
        <v>0.6</v>
      </c>
      <c r="H111" s="73">
        <v>0.6</v>
      </c>
      <c r="I111" s="73">
        <v>0.6</v>
      </c>
      <c r="J111" s="73">
        <v>0.6</v>
      </c>
      <c r="K111" s="11"/>
      <c r="L111" s="11"/>
    </row>
    <row r="112" spans="1:12" x14ac:dyDescent="0.25">
      <c r="A112" s="11"/>
      <c r="B112" s="11"/>
      <c r="C112" s="106" t="s">
        <v>218</v>
      </c>
      <c r="D112" s="106"/>
      <c r="E112" s="73">
        <v>1</v>
      </c>
      <c r="F112" s="73">
        <v>0.8</v>
      </c>
      <c r="G112" s="73">
        <v>0</v>
      </c>
      <c r="H112" s="73">
        <v>0.8</v>
      </c>
      <c r="I112" s="73">
        <v>0</v>
      </c>
      <c r="J112" s="73">
        <v>0.8666666666666667</v>
      </c>
      <c r="K112" s="11"/>
      <c r="L112" s="11"/>
    </row>
    <row r="113" spans="1:12" x14ac:dyDescent="0.25">
      <c r="A113" s="11"/>
      <c r="B113" s="11"/>
      <c r="C113" s="11"/>
      <c r="D113" s="11"/>
      <c r="E113" s="11"/>
      <c r="F113" s="11"/>
      <c r="G113" s="11"/>
      <c r="H113" s="11"/>
      <c r="I113" s="11"/>
      <c r="J113" s="11"/>
      <c r="K113" s="11"/>
      <c r="L113" s="11"/>
    </row>
    <row r="114" spans="1:12" x14ac:dyDescent="0.25">
      <c r="A114" s="11"/>
      <c r="B114" s="11"/>
      <c r="C114" s="11"/>
      <c r="D114" s="11"/>
      <c r="E114" s="11"/>
      <c r="F114" s="11"/>
      <c r="G114" s="11"/>
      <c r="H114" s="11"/>
      <c r="I114" s="11"/>
      <c r="J114" s="11"/>
      <c r="K114" s="11"/>
      <c r="L114" s="11"/>
    </row>
    <row r="115" spans="1:12" x14ac:dyDescent="0.25">
      <c r="A115" s="11"/>
      <c r="B115" s="11"/>
      <c r="C115" s="11"/>
      <c r="D115" s="11"/>
      <c r="E115" s="11"/>
      <c r="F115" s="11"/>
      <c r="G115" s="11"/>
      <c r="H115" s="11"/>
      <c r="I115" s="11"/>
      <c r="J115" s="11"/>
      <c r="K115" s="11"/>
      <c r="L115" s="11"/>
    </row>
    <row r="116" spans="1:12" x14ac:dyDescent="0.25">
      <c r="A116" s="11"/>
      <c r="B116" s="11"/>
      <c r="C116" s="11"/>
      <c r="D116" s="11"/>
      <c r="E116" s="11"/>
      <c r="F116" s="11"/>
      <c r="G116" s="11"/>
      <c r="H116" s="11"/>
      <c r="I116" s="11"/>
      <c r="J116" s="11"/>
      <c r="K116" s="11"/>
      <c r="L116" s="11"/>
    </row>
    <row r="117" spans="1:12" x14ac:dyDescent="0.25">
      <c r="A117" s="11"/>
      <c r="B117" s="11"/>
      <c r="C117" s="11"/>
      <c r="D117" s="11"/>
      <c r="E117" s="11"/>
      <c r="F117" s="11"/>
      <c r="G117" s="11"/>
      <c r="H117" s="11"/>
      <c r="I117" s="11"/>
      <c r="J117" s="11"/>
      <c r="K117" s="11"/>
      <c r="L117" s="11"/>
    </row>
    <row r="118" spans="1:12" x14ac:dyDescent="0.25">
      <c r="A118" s="11"/>
      <c r="B118" s="11"/>
      <c r="C118" s="11"/>
      <c r="D118" s="11"/>
      <c r="E118" s="11"/>
      <c r="F118" s="11"/>
      <c r="G118" s="11"/>
      <c r="H118" s="11"/>
      <c r="I118" s="11"/>
      <c r="J118" s="11"/>
      <c r="K118" s="11"/>
      <c r="L118" s="11"/>
    </row>
    <row r="119" spans="1:12" x14ac:dyDescent="0.25">
      <c r="A119" s="11"/>
      <c r="B119" s="11"/>
      <c r="C119" s="11"/>
      <c r="D119" s="11"/>
      <c r="E119" s="11"/>
      <c r="F119" s="11"/>
      <c r="G119" s="11"/>
      <c r="H119" s="11"/>
      <c r="I119" s="11"/>
      <c r="J119" s="11"/>
      <c r="K119" s="11"/>
      <c r="L119" s="11"/>
    </row>
    <row r="120" spans="1:12" x14ac:dyDescent="0.25">
      <c r="A120" s="11"/>
      <c r="B120" s="11"/>
      <c r="C120" s="11"/>
      <c r="D120" s="11"/>
      <c r="E120" s="11"/>
      <c r="F120" s="11"/>
      <c r="G120" s="11"/>
      <c r="H120" s="11"/>
      <c r="I120" s="11"/>
      <c r="J120" s="11"/>
      <c r="K120" s="11"/>
      <c r="L120" s="11"/>
    </row>
    <row r="121" spans="1:12" x14ac:dyDescent="0.25">
      <c r="A121" s="11"/>
      <c r="B121" s="11"/>
      <c r="C121" s="11"/>
      <c r="D121" s="11"/>
      <c r="E121" s="11"/>
      <c r="F121" s="11"/>
      <c r="G121" s="11"/>
      <c r="H121" s="11"/>
      <c r="I121" s="11"/>
      <c r="J121" s="11"/>
      <c r="K121" s="11"/>
      <c r="L121" s="11"/>
    </row>
    <row r="122" spans="1:12" x14ac:dyDescent="0.25">
      <c r="A122" s="11"/>
      <c r="B122" s="11"/>
      <c r="C122" s="11"/>
      <c r="D122" s="11"/>
      <c r="E122" s="11"/>
      <c r="F122" s="11"/>
      <c r="G122" s="11"/>
      <c r="H122" s="11"/>
      <c r="I122" s="11"/>
      <c r="J122" s="11"/>
      <c r="K122" s="11"/>
      <c r="L122" s="11"/>
    </row>
    <row r="123" spans="1:12" x14ac:dyDescent="0.25">
      <c r="A123" s="11"/>
      <c r="B123" s="11"/>
      <c r="C123" s="11"/>
      <c r="D123" s="11"/>
      <c r="E123" s="11"/>
      <c r="F123" s="11"/>
      <c r="G123" s="11"/>
      <c r="H123" s="11"/>
      <c r="I123" s="11"/>
      <c r="J123" s="11"/>
      <c r="K123" s="11"/>
      <c r="L123" s="11"/>
    </row>
    <row r="124" spans="1:12" x14ac:dyDescent="0.25">
      <c r="A124" s="11"/>
      <c r="B124" s="11"/>
      <c r="C124" s="11"/>
      <c r="D124" s="11"/>
      <c r="E124" s="11"/>
      <c r="F124" s="11"/>
      <c r="G124" s="11"/>
      <c r="H124" s="11"/>
      <c r="I124" s="11"/>
      <c r="J124" s="11"/>
      <c r="K124" s="11"/>
      <c r="L124" s="11"/>
    </row>
    <row r="125" spans="1:12" x14ac:dyDescent="0.25">
      <c r="A125" s="11"/>
      <c r="B125" s="11"/>
      <c r="C125" s="11"/>
      <c r="D125" s="11"/>
      <c r="E125" s="11"/>
      <c r="F125" s="11"/>
      <c r="G125" s="11"/>
      <c r="H125" s="11"/>
      <c r="I125" s="11"/>
      <c r="J125" s="11"/>
      <c r="K125" s="11"/>
      <c r="L125" s="11"/>
    </row>
    <row r="126" spans="1:12" x14ac:dyDescent="0.25">
      <c r="A126" s="11"/>
      <c r="B126" s="11"/>
      <c r="C126" s="11"/>
      <c r="D126" s="11"/>
      <c r="E126" s="11"/>
      <c r="F126" s="11"/>
      <c r="G126" s="11"/>
      <c r="H126" s="11"/>
      <c r="I126" s="11"/>
      <c r="J126" s="11"/>
      <c r="K126" s="11"/>
      <c r="L126" s="11"/>
    </row>
    <row r="127" spans="1:12" x14ac:dyDescent="0.25">
      <c r="A127" s="11"/>
      <c r="B127" s="11"/>
      <c r="C127" s="11"/>
      <c r="D127" s="11"/>
      <c r="E127" s="11"/>
      <c r="F127" s="11"/>
      <c r="G127" s="11"/>
      <c r="H127" s="11"/>
      <c r="I127" s="11"/>
      <c r="J127" s="11"/>
      <c r="K127" s="11"/>
      <c r="L127" s="11"/>
    </row>
    <row r="128" spans="1:12" x14ac:dyDescent="0.25">
      <c r="A128" s="11"/>
      <c r="B128" s="11"/>
      <c r="C128" s="11"/>
      <c r="D128" s="11"/>
      <c r="E128" s="11"/>
      <c r="F128" s="11"/>
      <c r="G128" s="11"/>
      <c r="H128" s="11"/>
      <c r="I128" s="11"/>
      <c r="J128" s="11"/>
      <c r="K128" s="11"/>
      <c r="L128" s="11"/>
    </row>
    <row r="129" spans="1:12" x14ac:dyDescent="0.25">
      <c r="A129" s="108" t="s">
        <v>456</v>
      </c>
      <c r="B129" s="108"/>
      <c r="C129" s="108"/>
      <c r="D129" s="108"/>
      <c r="E129" s="108"/>
      <c r="F129" s="108"/>
      <c r="G129" s="108"/>
      <c r="H129" s="108"/>
      <c r="I129" s="108"/>
      <c r="J129" s="108"/>
      <c r="K129" s="108"/>
      <c r="L129" s="108"/>
    </row>
    <row r="130" spans="1:12" ht="30" x14ac:dyDescent="0.25">
      <c r="A130" s="52" t="s">
        <v>1</v>
      </c>
      <c r="B130" s="52" t="s">
        <v>457</v>
      </c>
      <c r="C130" s="52" t="s">
        <v>458</v>
      </c>
      <c r="D130" s="52" t="s">
        <v>459</v>
      </c>
      <c r="E130" s="52" t="s">
        <v>460</v>
      </c>
      <c r="F130" s="52" t="s">
        <v>461</v>
      </c>
      <c r="G130" s="52" t="s">
        <v>26</v>
      </c>
      <c r="H130" s="52" t="s">
        <v>462</v>
      </c>
      <c r="I130" s="52" t="s">
        <v>156</v>
      </c>
      <c r="J130" s="52" t="s">
        <v>463</v>
      </c>
      <c r="K130" s="52" t="s">
        <v>464</v>
      </c>
      <c r="L130" s="52" t="s">
        <v>465</v>
      </c>
    </row>
    <row r="131" spans="1:12" x14ac:dyDescent="0.25">
      <c r="A131" s="11" t="s">
        <v>13</v>
      </c>
      <c r="B131" s="74">
        <v>75</v>
      </c>
      <c r="C131" s="74">
        <v>53</v>
      </c>
      <c r="D131" s="73">
        <v>0.70666666666666667</v>
      </c>
      <c r="E131" s="74">
        <v>21</v>
      </c>
      <c r="F131" s="73">
        <v>0.28000000000000003</v>
      </c>
      <c r="G131" s="74">
        <v>1</v>
      </c>
      <c r="H131" s="73">
        <v>1.3333333333333334E-2</v>
      </c>
      <c r="I131" s="74">
        <v>0</v>
      </c>
      <c r="J131" s="73">
        <v>0</v>
      </c>
      <c r="K131" s="74">
        <v>0</v>
      </c>
      <c r="L131" s="73">
        <v>0</v>
      </c>
    </row>
    <row r="132" spans="1:12" x14ac:dyDescent="0.25">
      <c r="A132" s="11" t="s">
        <v>116</v>
      </c>
      <c r="B132" s="74">
        <v>51</v>
      </c>
      <c r="C132" s="74">
        <v>17</v>
      </c>
      <c r="D132" s="73">
        <v>0.33333333333333331</v>
      </c>
      <c r="E132" s="74">
        <v>5</v>
      </c>
      <c r="F132" s="73">
        <v>9.8039215686274508E-2</v>
      </c>
      <c r="G132" s="74">
        <v>29</v>
      </c>
      <c r="H132" s="73">
        <v>0.56862745098039214</v>
      </c>
      <c r="I132" s="74">
        <v>0</v>
      </c>
      <c r="J132" s="73">
        <v>0</v>
      </c>
      <c r="K132" s="74">
        <v>0</v>
      </c>
      <c r="L132" s="73">
        <v>0</v>
      </c>
    </row>
    <row r="133" spans="1:12" x14ac:dyDescent="0.25">
      <c r="A133" s="11" t="s">
        <v>154</v>
      </c>
      <c r="B133" s="74">
        <v>80</v>
      </c>
      <c r="C133" s="74">
        <v>0</v>
      </c>
      <c r="D133" s="73">
        <v>0</v>
      </c>
      <c r="E133" s="74">
        <v>5</v>
      </c>
      <c r="F133" s="73">
        <v>6.25E-2</v>
      </c>
      <c r="G133" s="74">
        <v>0</v>
      </c>
      <c r="H133" s="73">
        <v>0</v>
      </c>
      <c r="I133" s="74">
        <v>75</v>
      </c>
      <c r="J133" s="73">
        <v>0.9375</v>
      </c>
      <c r="K133" s="74">
        <v>0</v>
      </c>
      <c r="L133" s="73">
        <v>0</v>
      </c>
    </row>
    <row r="134" spans="1:12" x14ac:dyDescent="0.25">
      <c r="A134" s="11" t="s">
        <v>441</v>
      </c>
      <c r="B134" s="74">
        <v>81</v>
      </c>
      <c r="C134" s="74">
        <v>2</v>
      </c>
      <c r="D134" s="73">
        <v>2.4691358024691357E-2</v>
      </c>
      <c r="E134" s="74">
        <v>3</v>
      </c>
      <c r="F134" s="73">
        <v>3.7037037037037035E-2</v>
      </c>
      <c r="G134" s="74">
        <v>0</v>
      </c>
      <c r="H134" s="73">
        <v>0</v>
      </c>
      <c r="I134" s="74">
        <v>0</v>
      </c>
      <c r="J134" s="73">
        <v>0</v>
      </c>
      <c r="K134" s="74">
        <v>0</v>
      </c>
      <c r="L134" s="73">
        <v>0</v>
      </c>
    </row>
    <row r="135" spans="1:12" x14ac:dyDescent="0.25">
      <c r="A135" s="11" t="s">
        <v>214</v>
      </c>
      <c r="B135" s="74">
        <v>49</v>
      </c>
      <c r="C135" s="74">
        <v>5</v>
      </c>
      <c r="D135" s="73">
        <v>0.10204081632653061</v>
      </c>
      <c r="E135" s="74">
        <v>0</v>
      </c>
      <c r="F135" s="73">
        <v>0</v>
      </c>
      <c r="G135" s="74">
        <v>0</v>
      </c>
      <c r="H135" s="73">
        <v>0</v>
      </c>
      <c r="I135" s="74">
        <v>0</v>
      </c>
      <c r="J135" s="73">
        <v>0</v>
      </c>
      <c r="K135" s="74">
        <v>0</v>
      </c>
      <c r="L135" s="73">
        <v>0</v>
      </c>
    </row>
    <row r="136" spans="1:12" x14ac:dyDescent="0.25">
      <c r="A136" s="11" t="s">
        <v>218</v>
      </c>
      <c r="B136" s="74">
        <v>79</v>
      </c>
      <c r="C136" s="74">
        <v>0</v>
      </c>
      <c r="D136" s="73">
        <v>0</v>
      </c>
      <c r="E136" s="74">
        <v>1</v>
      </c>
      <c r="F136" s="73">
        <v>1.2658227848101266E-2</v>
      </c>
      <c r="G136" s="74">
        <v>2</v>
      </c>
      <c r="H136" s="73">
        <v>2.5316455696202531E-2</v>
      </c>
      <c r="I136" s="74">
        <v>0</v>
      </c>
      <c r="J136" s="73">
        <v>0</v>
      </c>
      <c r="K136" s="74">
        <v>0</v>
      </c>
      <c r="L136" s="73">
        <v>0</v>
      </c>
    </row>
    <row r="137" spans="1:12" x14ac:dyDescent="0.25">
      <c r="A137" s="11"/>
      <c r="B137" s="11"/>
      <c r="C137" s="11"/>
      <c r="D137" s="11"/>
      <c r="E137" s="11"/>
      <c r="F137" s="11"/>
      <c r="G137" s="11"/>
      <c r="H137" s="11"/>
      <c r="I137" s="11"/>
      <c r="J137" s="11"/>
      <c r="K137" s="11"/>
      <c r="L137" s="11"/>
    </row>
    <row r="138" spans="1:12" x14ac:dyDescent="0.25">
      <c r="A138" s="11"/>
      <c r="B138" s="11"/>
      <c r="C138" s="11"/>
      <c r="D138" s="11"/>
      <c r="E138" s="11"/>
      <c r="F138" s="11"/>
      <c r="G138" s="11"/>
      <c r="H138" s="11"/>
      <c r="I138" s="11"/>
      <c r="J138" s="11"/>
      <c r="K138" s="11"/>
      <c r="L138" s="11"/>
    </row>
    <row r="139" spans="1:12" x14ac:dyDescent="0.25">
      <c r="A139" s="11"/>
      <c r="B139" s="11"/>
      <c r="C139" s="11"/>
      <c r="D139" s="11"/>
      <c r="E139" s="11"/>
      <c r="F139" s="11"/>
      <c r="G139" s="11"/>
      <c r="H139" s="11"/>
      <c r="I139" s="11"/>
      <c r="J139" s="11"/>
      <c r="K139" s="11"/>
      <c r="L139" s="11"/>
    </row>
    <row r="140" spans="1:12" x14ac:dyDescent="0.25">
      <c r="A140" s="11"/>
      <c r="B140" s="11"/>
      <c r="C140" s="11"/>
      <c r="D140" s="11"/>
      <c r="E140" s="11"/>
      <c r="F140" s="11"/>
      <c r="G140" s="11"/>
      <c r="H140" s="11"/>
      <c r="I140" s="11"/>
      <c r="J140" s="11"/>
      <c r="K140" s="11"/>
      <c r="L140" s="11"/>
    </row>
    <row r="141" spans="1:12" x14ac:dyDescent="0.25">
      <c r="A141" s="11"/>
      <c r="B141" s="11"/>
      <c r="C141" s="11"/>
      <c r="D141" s="11"/>
      <c r="E141" s="11"/>
      <c r="F141" s="11"/>
      <c r="G141" s="11"/>
      <c r="H141" s="11"/>
      <c r="I141" s="11"/>
      <c r="J141" s="11"/>
      <c r="K141" s="11"/>
      <c r="L141" s="11"/>
    </row>
    <row r="142" spans="1:12" x14ac:dyDescent="0.25">
      <c r="A142" s="11"/>
      <c r="B142" s="11"/>
      <c r="C142" s="11"/>
      <c r="D142" s="11"/>
      <c r="E142" s="11"/>
      <c r="F142" s="11"/>
      <c r="G142" s="11"/>
      <c r="H142" s="11"/>
      <c r="I142" s="11"/>
      <c r="J142" s="11"/>
      <c r="K142" s="11"/>
      <c r="L142" s="11"/>
    </row>
    <row r="143" spans="1:12" x14ac:dyDescent="0.25">
      <c r="A143" s="11"/>
      <c r="B143" s="11"/>
      <c r="C143" s="11"/>
      <c r="D143" s="11"/>
      <c r="E143" s="11"/>
      <c r="F143" s="11"/>
      <c r="G143" s="11"/>
      <c r="H143" s="11"/>
      <c r="I143" s="11"/>
      <c r="J143" s="11"/>
      <c r="K143" s="11"/>
      <c r="L143" s="11"/>
    </row>
    <row r="144" spans="1:12" x14ac:dyDescent="0.25">
      <c r="A144" s="11"/>
      <c r="B144" s="11"/>
      <c r="C144" s="11"/>
      <c r="D144" s="11"/>
      <c r="E144" s="11"/>
      <c r="F144" s="11"/>
      <c r="G144" s="11"/>
      <c r="H144" s="11"/>
      <c r="I144" s="11"/>
      <c r="J144" s="11"/>
      <c r="K144" s="11"/>
      <c r="L144" s="11"/>
    </row>
    <row r="145" spans="1:12" x14ac:dyDescent="0.25">
      <c r="A145" s="11"/>
      <c r="B145" s="11"/>
      <c r="C145" s="11"/>
      <c r="D145" s="11"/>
      <c r="E145" s="11"/>
      <c r="F145" s="11"/>
      <c r="G145" s="11"/>
      <c r="H145" s="11"/>
      <c r="I145" s="11"/>
      <c r="J145" s="11"/>
      <c r="K145" s="11"/>
      <c r="L145" s="11"/>
    </row>
    <row r="146" spans="1:12" x14ac:dyDescent="0.25">
      <c r="A146" s="11"/>
      <c r="B146" s="11"/>
      <c r="C146" s="11"/>
      <c r="D146" s="11"/>
      <c r="E146" s="11"/>
      <c r="F146" s="11"/>
      <c r="G146" s="11"/>
      <c r="H146" s="11"/>
      <c r="I146" s="11"/>
      <c r="J146" s="11"/>
      <c r="K146" s="11"/>
      <c r="L146" s="11"/>
    </row>
    <row r="147" spans="1:12" x14ac:dyDescent="0.25">
      <c r="A147" s="11"/>
      <c r="B147" s="11"/>
      <c r="C147" s="11"/>
      <c r="D147" s="11"/>
      <c r="E147" s="11"/>
      <c r="F147" s="11"/>
      <c r="G147" s="11"/>
      <c r="H147" s="11"/>
      <c r="I147" s="11"/>
      <c r="J147" s="11"/>
      <c r="K147" s="11"/>
      <c r="L147" s="11"/>
    </row>
    <row r="148" spans="1:12" x14ac:dyDescent="0.25">
      <c r="A148" s="11"/>
      <c r="B148" s="11"/>
      <c r="C148" s="11"/>
      <c r="D148" s="11"/>
      <c r="E148" s="11"/>
      <c r="F148" s="11"/>
      <c r="G148" s="11"/>
      <c r="H148" s="11"/>
      <c r="I148" s="11"/>
      <c r="J148" s="11"/>
      <c r="K148" s="11"/>
      <c r="L148" s="11"/>
    </row>
    <row r="149" spans="1:12" x14ac:dyDescent="0.25">
      <c r="A149" s="11"/>
      <c r="B149" s="11"/>
      <c r="C149" s="11"/>
      <c r="D149" s="11"/>
      <c r="E149" s="11"/>
      <c r="F149" s="11"/>
      <c r="G149" s="11"/>
      <c r="H149" s="11"/>
      <c r="I149" s="11"/>
      <c r="J149" s="11"/>
      <c r="K149" s="11"/>
      <c r="L149" s="11"/>
    </row>
    <row r="150" spans="1:12" x14ac:dyDescent="0.25">
      <c r="A150" s="11"/>
      <c r="B150" s="11"/>
      <c r="C150" s="11"/>
      <c r="D150" s="11"/>
      <c r="E150" s="11"/>
      <c r="F150" s="11"/>
      <c r="G150" s="11"/>
      <c r="H150" s="11"/>
      <c r="I150" s="11"/>
      <c r="J150" s="11"/>
      <c r="K150" s="11"/>
      <c r="L150" s="11"/>
    </row>
    <row r="151" spans="1:12" x14ac:dyDescent="0.25">
      <c r="A151" s="11"/>
      <c r="B151" s="11"/>
      <c r="C151" s="11"/>
      <c r="D151" s="11"/>
      <c r="E151" s="11"/>
      <c r="F151" s="11"/>
      <c r="G151" s="11"/>
      <c r="H151" s="11"/>
      <c r="I151" s="11"/>
      <c r="J151" s="11"/>
      <c r="K151" s="11"/>
      <c r="L151" s="11"/>
    </row>
    <row r="152" spans="1:12" x14ac:dyDescent="0.25">
      <c r="A152" s="11"/>
      <c r="B152" s="11"/>
      <c r="C152" s="11"/>
      <c r="D152" s="11"/>
      <c r="E152" s="11"/>
      <c r="F152" s="11"/>
      <c r="G152" s="11"/>
      <c r="H152" s="11"/>
      <c r="I152" s="11"/>
      <c r="J152" s="11"/>
      <c r="K152" s="11"/>
      <c r="L152" s="11"/>
    </row>
    <row r="153" spans="1:12" x14ac:dyDescent="0.25">
      <c r="A153" s="11"/>
      <c r="B153" s="108" t="s">
        <v>466</v>
      </c>
      <c r="C153" s="108"/>
      <c r="D153" s="108"/>
      <c r="E153" s="108"/>
      <c r="F153" s="108"/>
      <c r="G153" s="108"/>
      <c r="H153" s="108"/>
      <c r="I153" s="108"/>
      <c r="J153" s="108"/>
      <c r="K153" s="108"/>
      <c r="L153" s="11"/>
    </row>
    <row r="154" spans="1:12" x14ac:dyDescent="0.25">
      <c r="A154" s="11"/>
      <c r="B154" s="107" t="s">
        <v>1</v>
      </c>
      <c r="C154" s="107"/>
      <c r="D154" s="52" t="s">
        <v>24</v>
      </c>
      <c r="E154" s="52" t="s">
        <v>28</v>
      </c>
      <c r="F154" s="52" t="s">
        <v>32</v>
      </c>
      <c r="G154" s="52" t="s">
        <v>39</v>
      </c>
      <c r="H154" s="52" t="s">
        <v>43</v>
      </c>
      <c r="I154" s="52" t="s">
        <v>45</v>
      </c>
      <c r="J154" s="52" t="s">
        <v>50</v>
      </c>
      <c r="K154" s="52" t="s">
        <v>449</v>
      </c>
      <c r="L154" s="11"/>
    </row>
    <row r="155" spans="1:12" x14ac:dyDescent="0.25">
      <c r="A155" s="11"/>
      <c r="B155" s="106" t="s">
        <v>13</v>
      </c>
      <c r="C155" s="106"/>
      <c r="D155" s="73">
        <v>0.8</v>
      </c>
      <c r="E155" s="73">
        <v>0.6</v>
      </c>
      <c r="F155" s="73">
        <v>0.6</v>
      </c>
      <c r="G155" s="73">
        <v>0.6</v>
      </c>
      <c r="H155" s="73">
        <v>1</v>
      </c>
      <c r="I155" s="73">
        <v>1</v>
      </c>
      <c r="J155" s="73">
        <v>0.42</v>
      </c>
      <c r="K155" s="73">
        <v>0.71714285714285708</v>
      </c>
      <c r="L155" s="11"/>
    </row>
    <row r="156" spans="1:12" x14ac:dyDescent="0.25">
      <c r="A156" s="11"/>
      <c r="B156" s="106" t="s">
        <v>116</v>
      </c>
      <c r="C156" s="106"/>
      <c r="D156" s="73">
        <v>1</v>
      </c>
      <c r="E156" s="73">
        <v>0.8</v>
      </c>
      <c r="F156" s="73">
        <v>0.6</v>
      </c>
      <c r="G156" s="73">
        <v>0.8</v>
      </c>
      <c r="H156" s="73">
        <v>0.8</v>
      </c>
      <c r="I156" s="73">
        <v>0.80000000000000016</v>
      </c>
      <c r="J156" s="73">
        <v>0.62666666666666659</v>
      </c>
      <c r="K156" s="73">
        <v>0.77523809523809528</v>
      </c>
      <c r="L156" s="11"/>
    </row>
    <row r="157" spans="1:12" x14ac:dyDescent="0.25">
      <c r="A157" s="11"/>
      <c r="B157" s="106" t="s">
        <v>154</v>
      </c>
      <c r="C157" s="106"/>
      <c r="D157" s="73">
        <v>0.45</v>
      </c>
      <c r="E157" s="73">
        <v>0.35</v>
      </c>
      <c r="F157" s="73">
        <v>0.35</v>
      </c>
      <c r="G157" s="73">
        <v>0.1</v>
      </c>
      <c r="H157" s="73">
        <v>0.05</v>
      </c>
      <c r="I157" s="73">
        <v>0.35</v>
      </c>
      <c r="J157" s="73">
        <v>0.20454545454545456</v>
      </c>
      <c r="K157" s="73">
        <v>0.26493506493506491</v>
      </c>
      <c r="L157" s="11"/>
    </row>
    <row r="158" spans="1:12" x14ac:dyDescent="0.25">
      <c r="A158" s="11"/>
      <c r="B158" s="106" t="s">
        <v>441</v>
      </c>
      <c r="C158" s="106"/>
      <c r="D158" s="73">
        <v>0</v>
      </c>
      <c r="E158" s="73">
        <v>0</v>
      </c>
      <c r="F158" s="73">
        <v>0</v>
      </c>
      <c r="G158" s="73">
        <v>0</v>
      </c>
      <c r="H158" s="73">
        <v>0</v>
      </c>
      <c r="I158" s="73">
        <v>0</v>
      </c>
      <c r="J158" s="73">
        <v>0</v>
      </c>
      <c r="K158" s="73">
        <v>0</v>
      </c>
      <c r="L158" s="11"/>
    </row>
    <row r="159" spans="1:12" x14ac:dyDescent="0.25">
      <c r="A159" s="11"/>
      <c r="B159" s="106" t="s">
        <v>214</v>
      </c>
      <c r="C159" s="106"/>
      <c r="D159" s="73">
        <v>0</v>
      </c>
      <c r="E159" s="73">
        <v>0</v>
      </c>
      <c r="F159" s="73">
        <v>0</v>
      </c>
      <c r="G159" s="73">
        <v>0</v>
      </c>
      <c r="H159" s="73">
        <v>0</v>
      </c>
      <c r="I159" s="73">
        <v>0</v>
      </c>
      <c r="J159" s="73">
        <v>0</v>
      </c>
      <c r="K159" s="73">
        <v>0</v>
      </c>
      <c r="L159" s="11"/>
    </row>
    <row r="160" spans="1:12" x14ac:dyDescent="0.25">
      <c r="A160" s="11"/>
      <c r="B160" s="106" t="s">
        <v>218</v>
      </c>
      <c r="C160" s="106"/>
      <c r="D160" s="73">
        <v>0</v>
      </c>
      <c r="E160" s="73">
        <v>0</v>
      </c>
      <c r="F160" s="73">
        <v>0</v>
      </c>
      <c r="G160" s="73">
        <v>0</v>
      </c>
      <c r="H160" s="73">
        <v>0</v>
      </c>
      <c r="I160" s="73">
        <v>0</v>
      </c>
      <c r="J160" s="73">
        <v>0</v>
      </c>
      <c r="K160" s="73">
        <v>0</v>
      </c>
      <c r="L160" s="11"/>
    </row>
    <row r="161" spans="1:12" x14ac:dyDescent="0.25">
      <c r="A161" s="11"/>
      <c r="B161" s="11"/>
      <c r="C161" s="11"/>
      <c r="D161" s="11"/>
      <c r="E161" s="11"/>
      <c r="F161" s="11"/>
      <c r="G161" s="11"/>
      <c r="H161" s="11"/>
      <c r="I161" s="11"/>
      <c r="J161" s="11"/>
      <c r="K161" s="11"/>
      <c r="L161" s="11"/>
    </row>
    <row r="162" spans="1:12" x14ac:dyDescent="0.25">
      <c r="A162" s="11"/>
      <c r="B162" s="11"/>
      <c r="C162" s="11"/>
      <c r="D162" s="11"/>
      <c r="E162" s="11"/>
      <c r="F162" s="11"/>
      <c r="G162" s="11"/>
      <c r="H162" s="11"/>
      <c r="I162" s="11"/>
      <c r="J162" s="11"/>
      <c r="K162" s="11"/>
      <c r="L162" s="11"/>
    </row>
    <row r="163" spans="1:12" x14ac:dyDescent="0.25">
      <c r="A163" s="11"/>
      <c r="B163" s="11"/>
      <c r="C163" s="11"/>
      <c r="D163" s="11"/>
      <c r="E163" s="11"/>
      <c r="F163" s="11"/>
      <c r="G163" s="11"/>
      <c r="H163" s="11"/>
      <c r="I163" s="11"/>
      <c r="J163" s="11"/>
      <c r="K163" s="11"/>
      <c r="L163" s="11"/>
    </row>
    <row r="164" spans="1:12" x14ac:dyDescent="0.25">
      <c r="A164" s="11"/>
      <c r="B164" s="11"/>
      <c r="C164" s="11"/>
      <c r="D164" s="11"/>
      <c r="E164" s="11"/>
      <c r="F164" s="11"/>
      <c r="G164" s="11"/>
      <c r="H164" s="11"/>
      <c r="I164" s="11"/>
      <c r="J164" s="11"/>
      <c r="K164" s="11"/>
      <c r="L164" s="11"/>
    </row>
    <row r="165" spans="1:12" x14ac:dyDescent="0.25">
      <c r="A165" s="11"/>
      <c r="B165" s="11"/>
      <c r="C165" s="11"/>
      <c r="D165" s="11"/>
      <c r="E165" s="11"/>
      <c r="F165" s="11"/>
      <c r="G165" s="11"/>
      <c r="H165" s="11"/>
      <c r="I165" s="11"/>
      <c r="J165" s="11"/>
      <c r="K165" s="11"/>
      <c r="L165" s="11"/>
    </row>
    <row r="166" spans="1:12" x14ac:dyDescent="0.25">
      <c r="A166" s="11"/>
      <c r="B166" s="11"/>
      <c r="C166" s="11"/>
      <c r="D166" s="11"/>
      <c r="E166" s="11"/>
      <c r="F166" s="11"/>
      <c r="G166" s="11"/>
      <c r="H166" s="11"/>
      <c r="I166" s="11"/>
      <c r="J166" s="11"/>
      <c r="K166" s="11"/>
      <c r="L166" s="11"/>
    </row>
    <row r="167" spans="1:12" x14ac:dyDescent="0.25">
      <c r="A167" s="11"/>
      <c r="B167" s="11"/>
      <c r="C167" s="11"/>
      <c r="D167" s="11"/>
      <c r="E167" s="11"/>
      <c r="F167" s="11"/>
      <c r="G167" s="11"/>
      <c r="H167" s="11"/>
      <c r="I167" s="11"/>
      <c r="J167" s="11"/>
      <c r="K167" s="11"/>
      <c r="L167" s="11"/>
    </row>
    <row r="168" spans="1:12" x14ac:dyDescent="0.25">
      <c r="A168" s="11"/>
      <c r="B168" s="11"/>
      <c r="C168" s="11"/>
      <c r="D168" s="11"/>
      <c r="E168" s="11"/>
      <c r="F168" s="11"/>
      <c r="G168" s="11"/>
      <c r="H168" s="11"/>
      <c r="I168" s="11"/>
      <c r="J168" s="11"/>
      <c r="K168" s="11"/>
      <c r="L168" s="11"/>
    </row>
    <row r="169" spans="1:12" x14ac:dyDescent="0.25">
      <c r="A169" s="11"/>
      <c r="B169" s="11"/>
      <c r="C169" s="11"/>
      <c r="D169" s="11"/>
      <c r="E169" s="11"/>
      <c r="F169" s="11"/>
      <c r="G169" s="11"/>
      <c r="H169" s="11"/>
      <c r="I169" s="11"/>
      <c r="J169" s="11"/>
      <c r="K169" s="11"/>
      <c r="L169" s="11"/>
    </row>
    <row r="170" spans="1:12" x14ac:dyDescent="0.25">
      <c r="A170" s="11"/>
      <c r="B170" s="11"/>
      <c r="C170" s="11"/>
      <c r="D170" s="11"/>
      <c r="E170" s="11"/>
      <c r="F170" s="11"/>
      <c r="G170" s="11"/>
      <c r="H170" s="11"/>
      <c r="I170" s="11"/>
      <c r="J170" s="11"/>
      <c r="K170" s="11"/>
      <c r="L170" s="11"/>
    </row>
    <row r="171" spans="1:12" x14ac:dyDescent="0.25">
      <c r="A171" s="11"/>
      <c r="B171" s="11"/>
      <c r="C171" s="11"/>
      <c r="D171" s="11"/>
      <c r="E171" s="11"/>
      <c r="F171" s="11"/>
      <c r="G171" s="11"/>
      <c r="H171" s="11"/>
      <c r="I171" s="11"/>
      <c r="J171" s="11"/>
      <c r="K171" s="11"/>
      <c r="L171" s="11"/>
    </row>
    <row r="172" spans="1:12" x14ac:dyDescent="0.25">
      <c r="A172" s="11"/>
      <c r="B172" s="11"/>
      <c r="C172" s="11"/>
      <c r="D172" s="11"/>
      <c r="E172" s="11"/>
      <c r="F172" s="11"/>
      <c r="G172" s="11"/>
      <c r="H172" s="11"/>
      <c r="I172" s="11"/>
      <c r="J172" s="11"/>
      <c r="K172" s="11"/>
      <c r="L172" s="11"/>
    </row>
    <row r="173" spans="1:12" x14ac:dyDescent="0.25">
      <c r="A173" s="11"/>
      <c r="B173" s="11"/>
      <c r="C173" s="11"/>
      <c r="D173" s="11"/>
      <c r="E173" s="11"/>
      <c r="F173" s="11"/>
      <c r="G173" s="11"/>
      <c r="H173" s="11"/>
      <c r="I173" s="11"/>
      <c r="J173" s="11"/>
      <c r="K173" s="11"/>
      <c r="L173" s="11"/>
    </row>
    <row r="174" spans="1:12" x14ac:dyDescent="0.25">
      <c r="A174" s="11"/>
      <c r="B174" s="11"/>
      <c r="C174" s="11"/>
      <c r="D174" s="11"/>
      <c r="E174" s="11"/>
      <c r="F174" s="11"/>
      <c r="G174" s="11"/>
      <c r="H174" s="11"/>
      <c r="I174" s="11"/>
      <c r="J174" s="11"/>
      <c r="K174" s="11"/>
      <c r="L174" s="11"/>
    </row>
    <row r="175" spans="1:12" x14ac:dyDescent="0.25">
      <c r="A175" s="11"/>
      <c r="B175" s="11"/>
      <c r="C175" s="11"/>
      <c r="D175" s="11"/>
      <c r="E175" s="11"/>
      <c r="F175" s="11"/>
      <c r="G175" s="11"/>
      <c r="H175" s="11"/>
      <c r="I175" s="11"/>
      <c r="J175" s="11"/>
      <c r="K175" s="11"/>
      <c r="L175" s="11"/>
    </row>
    <row r="176" spans="1:12" x14ac:dyDescent="0.25">
      <c r="A176" s="11"/>
      <c r="B176" s="11"/>
      <c r="C176" s="11"/>
      <c r="D176" s="11"/>
      <c r="E176" s="11"/>
      <c r="F176" s="11"/>
      <c r="G176" s="11"/>
      <c r="H176" s="11"/>
      <c r="I176" s="11"/>
      <c r="J176" s="11"/>
      <c r="K176" s="11"/>
      <c r="L176" s="11"/>
    </row>
    <row r="177" spans="1:12" x14ac:dyDescent="0.25">
      <c r="A177" s="11"/>
      <c r="B177" s="108" t="s">
        <v>467</v>
      </c>
      <c r="C177" s="108"/>
      <c r="D177" s="108"/>
      <c r="E177" s="108"/>
      <c r="F177" s="108"/>
      <c r="G177" s="108"/>
      <c r="H177" s="108"/>
      <c r="I177" s="108"/>
      <c r="J177" s="108"/>
      <c r="K177" s="108"/>
      <c r="L177" s="11"/>
    </row>
    <row r="178" spans="1:12" ht="30" x14ac:dyDescent="0.25">
      <c r="A178" s="11"/>
      <c r="B178" s="107" t="s">
        <v>1</v>
      </c>
      <c r="C178" s="107"/>
      <c r="D178" s="52" t="s">
        <v>80</v>
      </c>
      <c r="E178" s="52" t="s">
        <v>83</v>
      </c>
      <c r="F178" s="52" t="s">
        <v>91</v>
      </c>
      <c r="G178" s="52" t="s">
        <v>93</v>
      </c>
      <c r="H178" s="52" t="s">
        <v>95</v>
      </c>
      <c r="I178" s="52" t="s">
        <v>97</v>
      </c>
      <c r="J178" s="52" t="s">
        <v>115</v>
      </c>
      <c r="K178" s="52" t="s">
        <v>449</v>
      </c>
      <c r="L178" s="11"/>
    </row>
    <row r="179" spans="1:12" x14ac:dyDescent="0.25">
      <c r="A179" s="11"/>
      <c r="B179" s="106" t="s">
        <v>13</v>
      </c>
      <c r="C179" s="106"/>
      <c r="D179" s="73">
        <v>1</v>
      </c>
      <c r="E179" s="73">
        <v>1</v>
      </c>
      <c r="F179" s="73">
        <v>0.6</v>
      </c>
      <c r="G179" s="73">
        <v>0.6</v>
      </c>
      <c r="H179" s="73">
        <v>1</v>
      </c>
      <c r="I179" s="73">
        <v>0.59294117647058808</v>
      </c>
      <c r="J179" s="73">
        <v>1</v>
      </c>
      <c r="K179" s="73">
        <v>0.82756302521008407</v>
      </c>
      <c r="L179" s="11"/>
    </row>
    <row r="180" spans="1:12" x14ac:dyDescent="0.25">
      <c r="A180" s="11"/>
      <c r="B180" s="106" t="s">
        <v>116</v>
      </c>
      <c r="C180" s="106"/>
      <c r="D180" s="73">
        <v>0.80000000000000016</v>
      </c>
      <c r="E180" s="73">
        <v>0.8</v>
      </c>
      <c r="F180" s="73">
        <v>0.8</v>
      </c>
      <c r="G180" s="73">
        <v>0.8</v>
      </c>
      <c r="H180" s="73">
        <v>0.8</v>
      </c>
      <c r="I180" s="73">
        <v>0.79999999999999993</v>
      </c>
      <c r="J180" s="73">
        <v>0.8</v>
      </c>
      <c r="K180" s="73">
        <v>0.79999999999999993</v>
      </c>
      <c r="L180" s="11"/>
    </row>
    <row r="181" spans="1:12" x14ac:dyDescent="0.25">
      <c r="A181" s="11"/>
      <c r="B181" s="106" t="s">
        <v>154</v>
      </c>
      <c r="C181" s="106"/>
      <c r="D181" s="73">
        <v>0.35000000000000003</v>
      </c>
      <c r="E181" s="73">
        <v>0.35</v>
      </c>
      <c r="F181" s="73">
        <v>0.34999999999999992</v>
      </c>
      <c r="G181" s="73">
        <v>0.35</v>
      </c>
      <c r="H181" s="73">
        <v>0.1</v>
      </c>
      <c r="I181" s="73">
        <v>0.26666666666666666</v>
      </c>
      <c r="J181" s="73">
        <v>0.1</v>
      </c>
      <c r="K181" s="73">
        <v>0.26666666666666666</v>
      </c>
      <c r="L181" s="11"/>
    </row>
    <row r="182" spans="1:12" x14ac:dyDescent="0.25">
      <c r="A182" s="11"/>
      <c r="B182" s="106" t="s">
        <v>441</v>
      </c>
      <c r="C182" s="106"/>
      <c r="D182" s="73">
        <v>0</v>
      </c>
      <c r="E182" s="73">
        <v>0</v>
      </c>
      <c r="F182" s="73">
        <v>0</v>
      </c>
      <c r="G182" s="73">
        <v>0</v>
      </c>
      <c r="H182" s="73">
        <v>0</v>
      </c>
      <c r="I182" s="73">
        <v>0</v>
      </c>
      <c r="J182" s="73">
        <v>0</v>
      </c>
      <c r="K182" s="73">
        <v>0</v>
      </c>
      <c r="L182" s="11"/>
    </row>
    <row r="183" spans="1:12" x14ac:dyDescent="0.25">
      <c r="A183" s="11"/>
      <c r="B183" s="106" t="s">
        <v>214</v>
      </c>
      <c r="C183" s="106"/>
      <c r="D183" s="73">
        <v>0</v>
      </c>
      <c r="E183" s="73">
        <v>0</v>
      </c>
      <c r="F183" s="73">
        <v>0</v>
      </c>
      <c r="G183" s="73">
        <v>0</v>
      </c>
      <c r="H183" s="73">
        <v>0</v>
      </c>
      <c r="I183" s="73">
        <v>0</v>
      </c>
      <c r="J183" s="73">
        <v>0</v>
      </c>
      <c r="K183" s="73">
        <v>0</v>
      </c>
      <c r="L183" s="11"/>
    </row>
    <row r="184" spans="1:12" x14ac:dyDescent="0.25">
      <c r="A184" s="11"/>
      <c r="B184" s="106" t="s">
        <v>218</v>
      </c>
      <c r="C184" s="106"/>
      <c r="D184" s="73">
        <v>0</v>
      </c>
      <c r="E184" s="73">
        <v>0</v>
      </c>
      <c r="F184" s="73">
        <v>0</v>
      </c>
      <c r="G184" s="73">
        <v>0</v>
      </c>
      <c r="H184" s="73">
        <v>0</v>
      </c>
      <c r="I184" s="73">
        <v>0</v>
      </c>
      <c r="J184" s="73">
        <v>0</v>
      </c>
      <c r="K184" s="73">
        <v>0</v>
      </c>
      <c r="L184" s="11"/>
    </row>
  </sheetData>
  <sheetProtection formatCells="0" formatColumns="0" formatRows="0" insertColumns="0" insertRows="0" insertHyperlinks="0" deleteColumns="0" deleteRows="0" sort="0" autoFilter="0" pivotTables="0"/>
  <mergeCells count="112">
    <mergeCell ref="B154:C154"/>
    <mergeCell ref="B155:C155"/>
    <mergeCell ref="B156:C156"/>
    <mergeCell ref="A42:L42"/>
    <mergeCell ref="A49:L49"/>
    <mergeCell ref="A43:L43"/>
    <mergeCell ref="A36:L36"/>
    <mergeCell ref="A38:L38"/>
    <mergeCell ref="A39:L39"/>
    <mergeCell ref="A44:L44"/>
    <mergeCell ref="A45:L45"/>
    <mergeCell ref="A46:L46"/>
    <mergeCell ref="A48:L48"/>
    <mergeCell ref="A37:L37"/>
    <mergeCell ref="A70:L70"/>
    <mergeCell ref="A71:L71"/>
    <mergeCell ref="A72:L72"/>
    <mergeCell ref="A73:L73"/>
    <mergeCell ref="A75:L75"/>
    <mergeCell ref="A50:L50"/>
    <mergeCell ref="A67:L67"/>
    <mergeCell ref="A68:L68"/>
    <mergeCell ref="E86:F86"/>
    <mergeCell ref="G86:H86"/>
    <mergeCell ref="A4:L4"/>
    <mergeCell ref="A1:L1"/>
    <mergeCell ref="A6:L6"/>
    <mergeCell ref="A26:L26"/>
    <mergeCell ref="A23:L23"/>
    <mergeCell ref="A24:L24"/>
    <mergeCell ref="A3:L3"/>
    <mergeCell ref="A16:L16"/>
    <mergeCell ref="A7:L7"/>
    <mergeCell ref="A8:L8"/>
    <mergeCell ref="A9:L9"/>
    <mergeCell ref="A10:L10"/>
    <mergeCell ref="A11:L11"/>
    <mergeCell ref="A12:L12"/>
    <mergeCell ref="A13:L13"/>
    <mergeCell ref="A14:L14"/>
    <mergeCell ref="A15:L15"/>
    <mergeCell ref="A18:L18"/>
    <mergeCell ref="A19:L19"/>
    <mergeCell ref="A34:L34"/>
    <mergeCell ref="A31:L31"/>
    <mergeCell ref="A32:L32"/>
    <mergeCell ref="A17:L17"/>
    <mergeCell ref="A33:L33"/>
    <mergeCell ref="A21:L21"/>
    <mergeCell ref="A29:L29"/>
    <mergeCell ref="A22:L22"/>
    <mergeCell ref="A28:L28"/>
    <mergeCell ref="A20:L20"/>
    <mergeCell ref="A25:L25"/>
    <mergeCell ref="A27:L27"/>
    <mergeCell ref="A30:L30"/>
    <mergeCell ref="A35:L35"/>
    <mergeCell ref="A41:L41"/>
    <mergeCell ref="A76:L76"/>
    <mergeCell ref="A77:L77"/>
    <mergeCell ref="A78:L78"/>
    <mergeCell ref="E81:H81"/>
    <mergeCell ref="E82:F82"/>
    <mergeCell ref="G82:H82"/>
    <mergeCell ref="A47:L47"/>
    <mergeCell ref="A51:L51"/>
    <mergeCell ref="A52:L52"/>
    <mergeCell ref="A53:L53"/>
    <mergeCell ref="A54:L54"/>
    <mergeCell ref="A55:L55"/>
    <mergeCell ref="A56:L56"/>
    <mergeCell ref="A57:L57"/>
    <mergeCell ref="A58:L58"/>
    <mergeCell ref="A59:L59"/>
    <mergeCell ref="A60:L60"/>
    <mergeCell ref="A61:L61"/>
    <mergeCell ref="A63:L63"/>
    <mergeCell ref="A64:L64"/>
    <mergeCell ref="A65:L65"/>
    <mergeCell ref="A66:L66"/>
    <mergeCell ref="E87:F87"/>
    <mergeCell ref="G87:H87"/>
    <mergeCell ref="E88:F88"/>
    <mergeCell ref="G88:H88"/>
    <mergeCell ref="E83:F83"/>
    <mergeCell ref="G83:H83"/>
    <mergeCell ref="E84:F84"/>
    <mergeCell ref="G84:H84"/>
    <mergeCell ref="E85:F85"/>
    <mergeCell ref="G85:H85"/>
    <mergeCell ref="C110:D110"/>
    <mergeCell ref="C111:D111"/>
    <mergeCell ref="C112:D112"/>
    <mergeCell ref="A129:L129"/>
    <mergeCell ref="B153:K153"/>
    <mergeCell ref="C105:J105"/>
    <mergeCell ref="C106:D106"/>
    <mergeCell ref="C107:D107"/>
    <mergeCell ref="C108:D108"/>
    <mergeCell ref="C109:D109"/>
    <mergeCell ref="B183:C183"/>
    <mergeCell ref="B184:C184"/>
    <mergeCell ref="B178:C178"/>
    <mergeCell ref="B179:C179"/>
    <mergeCell ref="B180:C180"/>
    <mergeCell ref="B181:C181"/>
    <mergeCell ref="B182:C182"/>
    <mergeCell ref="B157:C157"/>
    <mergeCell ref="B158:C158"/>
    <mergeCell ref="B159:C159"/>
    <mergeCell ref="B160:C160"/>
    <mergeCell ref="B177:K177"/>
  </mergeCells>
  <pageMargins left="0.7" right="0.7" top="0.75" bottom="0.75" header="0.3" footer="0.3"/>
  <pageSetup paperSize="9" scale="66" orientation="landscape"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DFF05-C257-44F7-8805-6BEE06D7CB2F}">
  <sheetPr codeName="Hoja4"/>
  <dimension ref="B2:D39"/>
  <sheetViews>
    <sheetView workbookViewId="0">
      <selection activeCell="D8" sqref="D8"/>
    </sheetView>
  </sheetViews>
  <sheetFormatPr baseColWidth="10" defaultColWidth="11.42578125" defaultRowHeight="15" x14ac:dyDescent="0.25"/>
  <cols>
    <col min="2" max="2" width="25.5703125" bestFit="1" customWidth="1"/>
    <col min="3" max="3" width="24.28515625" bestFit="1" customWidth="1"/>
    <col min="4" max="4" width="36.28515625" customWidth="1"/>
    <col min="7" max="7" width="11" bestFit="1" customWidth="1"/>
    <col min="8" max="8" width="37" bestFit="1" customWidth="1"/>
  </cols>
  <sheetData>
    <row r="2" spans="2:4" x14ac:dyDescent="0.25">
      <c r="B2" s="33" t="s">
        <v>251</v>
      </c>
      <c r="C2" s="33" t="s">
        <v>1</v>
      </c>
      <c r="D2" s="33" t="s">
        <v>468</v>
      </c>
    </row>
    <row r="3" spans="2:4" x14ac:dyDescent="0.25">
      <c r="B3" s="42" t="s">
        <v>260</v>
      </c>
      <c r="C3" s="14" t="s">
        <v>13</v>
      </c>
      <c r="D3" s="14" t="s">
        <v>451</v>
      </c>
    </row>
    <row r="4" spans="2:4" x14ac:dyDescent="0.25">
      <c r="B4" s="42" t="s">
        <v>280</v>
      </c>
      <c r="C4" s="14" t="s">
        <v>116</v>
      </c>
      <c r="D4" s="14" t="s">
        <v>452</v>
      </c>
    </row>
    <row r="5" spans="2:4" x14ac:dyDescent="0.25">
      <c r="B5" s="42" t="s">
        <v>287</v>
      </c>
      <c r="C5" s="14" t="s">
        <v>154</v>
      </c>
      <c r="D5" s="14" t="s">
        <v>453</v>
      </c>
    </row>
    <row r="6" spans="2:4" x14ac:dyDescent="0.25">
      <c r="B6" s="42" t="s">
        <v>291</v>
      </c>
      <c r="C6" s="14" t="s">
        <v>206</v>
      </c>
      <c r="D6" s="14" t="s">
        <v>454</v>
      </c>
    </row>
    <row r="7" spans="2:4" x14ac:dyDescent="0.25">
      <c r="B7" s="67" t="s">
        <v>301</v>
      </c>
      <c r="C7" s="14" t="s">
        <v>13</v>
      </c>
      <c r="D7" s="14" t="s">
        <v>469</v>
      </c>
    </row>
    <row r="8" spans="2:4" x14ac:dyDescent="0.25">
      <c r="B8" s="67" t="s">
        <v>309</v>
      </c>
      <c r="C8" s="14" t="s">
        <v>218</v>
      </c>
      <c r="D8" s="14" t="s">
        <v>470</v>
      </c>
    </row>
    <row r="9" spans="2:4" x14ac:dyDescent="0.25">
      <c r="B9" s="42" t="s">
        <v>311</v>
      </c>
      <c r="C9" s="14" t="s">
        <v>471</v>
      </c>
      <c r="D9" s="14" t="s">
        <v>472</v>
      </c>
    </row>
    <row r="10" spans="2:4" x14ac:dyDescent="0.25">
      <c r="B10" s="42" t="s">
        <v>314</v>
      </c>
      <c r="C10" s="14" t="s">
        <v>292</v>
      </c>
      <c r="D10" s="69" t="s">
        <v>473</v>
      </c>
    </row>
    <row r="11" spans="2:4" x14ac:dyDescent="0.25">
      <c r="B11" s="42" t="s">
        <v>318</v>
      </c>
      <c r="C11" s="14" t="s">
        <v>474</v>
      </c>
      <c r="D11" s="14" t="s">
        <v>24</v>
      </c>
    </row>
    <row r="12" spans="2:4" x14ac:dyDescent="0.25">
      <c r="B12" s="42" t="s">
        <v>322</v>
      </c>
      <c r="C12" s="14" t="s">
        <v>475</v>
      </c>
      <c r="D12" s="14" t="s">
        <v>28</v>
      </c>
    </row>
    <row r="13" spans="2:4" x14ac:dyDescent="0.25">
      <c r="B13" s="68" t="s">
        <v>476</v>
      </c>
      <c r="C13" s="69" t="s">
        <v>477</v>
      </c>
      <c r="D13" s="14" t="s">
        <v>32</v>
      </c>
    </row>
    <row r="14" spans="2:4" x14ac:dyDescent="0.25">
      <c r="B14" s="67" t="s">
        <v>478</v>
      </c>
      <c r="C14" s="13"/>
      <c r="D14" s="14" t="s">
        <v>39</v>
      </c>
    </row>
    <row r="15" spans="2:4" x14ac:dyDescent="0.25">
      <c r="B15" s="67" t="s">
        <v>331</v>
      </c>
      <c r="C15" s="13"/>
      <c r="D15" s="14" t="s">
        <v>43</v>
      </c>
    </row>
    <row r="16" spans="2:4" x14ac:dyDescent="0.25">
      <c r="B16" s="13" t="s">
        <v>479</v>
      </c>
      <c r="C16" s="13" t="s">
        <v>474</v>
      </c>
      <c r="D16" s="14" t="s">
        <v>45</v>
      </c>
    </row>
    <row r="17" spans="2:4" x14ac:dyDescent="0.25">
      <c r="B17" s="13"/>
      <c r="C17" s="13"/>
      <c r="D17" s="14" t="s">
        <v>50</v>
      </c>
    </row>
    <row r="18" spans="2:4" x14ac:dyDescent="0.25">
      <c r="B18" s="13"/>
      <c r="C18" s="13"/>
      <c r="D18" s="14" t="s">
        <v>80</v>
      </c>
    </row>
    <row r="19" spans="2:4" x14ac:dyDescent="0.25">
      <c r="B19" s="13"/>
      <c r="C19" s="13"/>
      <c r="D19" s="14" t="s">
        <v>83</v>
      </c>
    </row>
    <row r="20" spans="2:4" x14ac:dyDescent="0.25">
      <c r="B20" s="13"/>
      <c r="C20" s="13"/>
      <c r="D20" s="14" t="s">
        <v>91</v>
      </c>
    </row>
    <row r="21" spans="2:4" x14ac:dyDescent="0.25">
      <c r="B21" s="13"/>
      <c r="C21" s="13"/>
      <c r="D21" s="14" t="s">
        <v>93</v>
      </c>
    </row>
    <row r="22" spans="2:4" x14ac:dyDescent="0.25">
      <c r="D22" s="14" t="s">
        <v>95</v>
      </c>
    </row>
    <row r="23" spans="2:4" x14ac:dyDescent="0.25">
      <c r="D23" s="14" t="s">
        <v>97</v>
      </c>
    </row>
    <row r="24" spans="2:4" x14ac:dyDescent="0.25">
      <c r="D24" s="14" t="s">
        <v>115</v>
      </c>
    </row>
    <row r="25" spans="2:4" x14ac:dyDescent="0.25">
      <c r="D25" s="14" t="s">
        <v>480</v>
      </c>
    </row>
    <row r="26" spans="2:4" x14ac:dyDescent="0.25">
      <c r="D26" s="14" t="s">
        <v>481</v>
      </c>
    </row>
    <row r="27" spans="2:4" x14ac:dyDescent="0.25">
      <c r="D27" s="14" t="s">
        <v>475</v>
      </c>
    </row>
    <row r="28" spans="2:4" x14ac:dyDescent="0.25">
      <c r="D28" s="13"/>
    </row>
    <row r="29" spans="2:4" x14ac:dyDescent="0.25">
      <c r="D29" s="13"/>
    </row>
    <row r="30" spans="2:4" x14ac:dyDescent="0.25">
      <c r="D30" s="13"/>
    </row>
    <row r="31" spans="2:4" x14ac:dyDescent="0.25">
      <c r="D31" s="13"/>
    </row>
    <row r="32" spans="2:4" x14ac:dyDescent="0.25">
      <c r="D32" s="13"/>
    </row>
    <row r="33" spans="4:4" x14ac:dyDescent="0.25">
      <c r="D33" s="13"/>
    </row>
    <row r="34" spans="4:4" x14ac:dyDescent="0.25">
      <c r="D34" s="13"/>
    </row>
    <row r="35" spans="4:4" x14ac:dyDescent="0.25">
      <c r="D35" s="13"/>
    </row>
    <row r="36" spans="4:4" x14ac:dyDescent="0.25">
      <c r="D36" s="13"/>
    </row>
    <row r="37" spans="4:4" x14ac:dyDescent="0.25">
      <c r="D37" s="13"/>
    </row>
    <row r="38" spans="4:4" x14ac:dyDescent="0.25">
      <c r="D38" s="13"/>
    </row>
    <row r="39" spans="4:4" x14ac:dyDescent="0.25">
      <c r="D39" s="1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01898-473E-435B-8F79-6B6DC3F834C3}">
  <sheetPr codeName="Hoja2"/>
  <dimension ref="A2:F63"/>
  <sheetViews>
    <sheetView workbookViewId="0">
      <selection activeCell="B51" sqref="B51"/>
    </sheetView>
  </sheetViews>
  <sheetFormatPr baseColWidth="10" defaultColWidth="11.5703125" defaultRowHeight="15" x14ac:dyDescent="0.25"/>
  <cols>
    <col min="1" max="1" width="11.5703125" style="4"/>
    <col min="2" max="2" width="18.7109375" bestFit="1" customWidth="1"/>
    <col min="3" max="3" width="29.85546875" customWidth="1"/>
    <col min="4" max="4" width="34.140625" customWidth="1"/>
    <col min="6" max="6" width="65.42578125" customWidth="1"/>
    <col min="11" max="11" width="11.5703125" customWidth="1"/>
  </cols>
  <sheetData>
    <row r="2" spans="1:6" x14ac:dyDescent="0.25">
      <c r="A2" s="116" t="s">
        <v>482</v>
      </c>
      <c r="B2" s="117"/>
      <c r="C2" s="117"/>
      <c r="D2" s="117"/>
      <c r="E2" s="117"/>
      <c r="F2" s="118"/>
    </row>
    <row r="3" spans="1:6" x14ac:dyDescent="0.25">
      <c r="A3" s="33" t="s">
        <v>483</v>
      </c>
      <c r="B3" s="33" t="s">
        <v>251</v>
      </c>
      <c r="C3" s="33" t="s">
        <v>1</v>
      </c>
      <c r="D3" s="33" t="s">
        <v>468</v>
      </c>
      <c r="E3" s="33" t="s">
        <v>484</v>
      </c>
      <c r="F3" s="33" t="s">
        <v>485</v>
      </c>
    </row>
    <row r="4" spans="1:6" x14ac:dyDescent="0.25">
      <c r="A4" s="16">
        <v>46160</v>
      </c>
      <c r="B4" s="14" t="s">
        <v>287</v>
      </c>
      <c r="C4" s="14" t="s">
        <v>13</v>
      </c>
      <c r="D4" s="14" t="s">
        <v>475</v>
      </c>
      <c r="E4" s="14">
        <v>16</v>
      </c>
      <c r="F4" s="14" t="s">
        <v>486</v>
      </c>
    </row>
    <row r="5" spans="1:6" x14ac:dyDescent="0.25">
      <c r="A5" s="16">
        <v>46160</v>
      </c>
      <c r="B5" s="14" t="s">
        <v>287</v>
      </c>
      <c r="C5" s="14"/>
      <c r="D5" s="14" t="s">
        <v>475</v>
      </c>
      <c r="E5" s="14">
        <v>6</v>
      </c>
      <c r="F5" s="14" t="s">
        <v>487</v>
      </c>
    </row>
    <row r="6" spans="1:6" x14ac:dyDescent="0.25">
      <c r="A6" s="16">
        <v>46160</v>
      </c>
      <c r="B6" s="14" t="s">
        <v>287</v>
      </c>
      <c r="C6" s="14" t="s">
        <v>471</v>
      </c>
      <c r="D6" s="14" t="s">
        <v>481</v>
      </c>
      <c r="E6" s="14">
        <v>18</v>
      </c>
      <c r="F6" s="14" t="s">
        <v>488</v>
      </c>
    </row>
    <row r="7" spans="1:6" x14ac:dyDescent="0.25">
      <c r="A7" s="16">
        <v>46160</v>
      </c>
      <c r="B7" s="14" t="s">
        <v>260</v>
      </c>
      <c r="C7" s="14" t="s">
        <v>214</v>
      </c>
      <c r="D7" s="14" t="s">
        <v>452</v>
      </c>
      <c r="E7" s="14">
        <v>5</v>
      </c>
      <c r="F7" s="14" t="s">
        <v>489</v>
      </c>
    </row>
    <row r="8" spans="1:6" x14ac:dyDescent="0.25">
      <c r="A8" s="16">
        <v>46160</v>
      </c>
      <c r="B8" s="14" t="s">
        <v>260</v>
      </c>
      <c r="C8" s="14" t="s">
        <v>214</v>
      </c>
      <c r="D8" s="14" t="s">
        <v>453</v>
      </c>
      <c r="E8" s="14">
        <v>4</v>
      </c>
      <c r="F8" s="14" t="s">
        <v>489</v>
      </c>
    </row>
    <row r="9" spans="1:6" x14ac:dyDescent="0.25">
      <c r="A9" s="16">
        <v>46160</v>
      </c>
      <c r="B9" s="14" t="s">
        <v>260</v>
      </c>
      <c r="C9" s="14" t="s">
        <v>214</v>
      </c>
      <c r="D9" s="14" t="s">
        <v>455</v>
      </c>
      <c r="E9" s="14">
        <v>4</v>
      </c>
      <c r="F9" s="14" t="s">
        <v>489</v>
      </c>
    </row>
    <row r="10" spans="1:6" x14ac:dyDescent="0.25">
      <c r="A10" s="16">
        <v>46160</v>
      </c>
      <c r="B10" s="14" t="s">
        <v>260</v>
      </c>
      <c r="C10" s="14" t="s">
        <v>214</v>
      </c>
      <c r="D10" s="14" t="s">
        <v>451</v>
      </c>
      <c r="E10" s="14">
        <v>3</v>
      </c>
      <c r="F10" s="14" t="s">
        <v>489</v>
      </c>
    </row>
    <row r="11" spans="1:6" x14ac:dyDescent="0.25">
      <c r="A11" s="16">
        <v>46160</v>
      </c>
      <c r="B11" s="14" t="s">
        <v>260</v>
      </c>
      <c r="C11" s="14" t="s">
        <v>206</v>
      </c>
      <c r="D11" s="14" t="s">
        <v>454</v>
      </c>
      <c r="E11" s="14">
        <v>6</v>
      </c>
      <c r="F11" s="14" t="s">
        <v>489</v>
      </c>
    </row>
    <row r="12" spans="1:6" x14ac:dyDescent="0.25">
      <c r="A12" s="16">
        <v>46160</v>
      </c>
      <c r="B12" s="14" t="s">
        <v>260</v>
      </c>
      <c r="C12" s="14" t="s">
        <v>206</v>
      </c>
      <c r="D12" s="14" t="s">
        <v>452</v>
      </c>
      <c r="E12" s="14">
        <v>3</v>
      </c>
      <c r="F12" s="14" t="s">
        <v>489</v>
      </c>
    </row>
    <row r="13" spans="1:6" x14ac:dyDescent="0.25">
      <c r="A13" s="16">
        <v>46160</v>
      </c>
      <c r="B13" s="14" t="s">
        <v>260</v>
      </c>
      <c r="C13" s="14" t="s">
        <v>218</v>
      </c>
      <c r="D13" s="14" t="s">
        <v>452</v>
      </c>
      <c r="E13" s="14">
        <v>2</v>
      </c>
      <c r="F13" s="14" t="s">
        <v>489</v>
      </c>
    </row>
    <row r="14" spans="1:6" x14ac:dyDescent="0.25">
      <c r="A14" s="16">
        <v>46160</v>
      </c>
      <c r="B14" s="14" t="s">
        <v>260</v>
      </c>
      <c r="C14" s="14" t="s">
        <v>477</v>
      </c>
      <c r="D14" s="14" t="s">
        <v>475</v>
      </c>
      <c r="E14" s="14">
        <v>6</v>
      </c>
      <c r="F14" s="14" t="s">
        <v>487</v>
      </c>
    </row>
    <row r="15" spans="1:6" x14ac:dyDescent="0.25">
      <c r="A15" s="16">
        <v>46160</v>
      </c>
      <c r="B15" s="14" t="s">
        <v>479</v>
      </c>
      <c r="C15" s="14" t="s">
        <v>474</v>
      </c>
      <c r="D15" s="14" t="s">
        <v>480</v>
      </c>
      <c r="E15" s="14">
        <v>45</v>
      </c>
      <c r="F15" s="14" t="s">
        <v>490</v>
      </c>
    </row>
    <row r="16" spans="1:6" ht="30" x14ac:dyDescent="0.25">
      <c r="A16" s="16">
        <v>46160</v>
      </c>
      <c r="B16" s="14" t="s">
        <v>476</v>
      </c>
      <c r="C16" s="14" t="s">
        <v>13</v>
      </c>
      <c r="D16" s="14" t="s">
        <v>480</v>
      </c>
      <c r="E16" s="14">
        <v>25</v>
      </c>
      <c r="F16" s="70" t="s">
        <v>491</v>
      </c>
    </row>
    <row r="17" spans="1:6" x14ac:dyDescent="0.25">
      <c r="A17" s="16">
        <v>46160</v>
      </c>
      <c r="B17" s="14" t="s">
        <v>476</v>
      </c>
      <c r="C17" s="14" t="s">
        <v>13</v>
      </c>
      <c r="D17" s="14" t="s">
        <v>50</v>
      </c>
      <c r="E17" s="14">
        <v>10.5</v>
      </c>
      <c r="F17" s="14" t="s">
        <v>492</v>
      </c>
    </row>
    <row r="18" spans="1:6" x14ac:dyDescent="0.25">
      <c r="A18" s="16">
        <v>46160</v>
      </c>
      <c r="B18" s="14" t="s">
        <v>476</v>
      </c>
      <c r="C18" s="14" t="s">
        <v>13</v>
      </c>
      <c r="D18" s="14" t="s">
        <v>475</v>
      </c>
      <c r="E18" s="14">
        <v>6</v>
      </c>
      <c r="F18" s="14" t="s">
        <v>493</v>
      </c>
    </row>
    <row r="19" spans="1:6" x14ac:dyDescent="0.25">
      <c r="A19" s="16">
        <v>46156</v>
      </c>
      <c r="B19" s="14" t="s">
        <v>311</v>
      </c>
      <c r="C19" s="14" t="s">
        <v>471</v>
      </c>
      <c r="D19" s="14" t="s">
        <v>481</v>
      </c>
      <c r="E19" s="14">
        <v>13.5</v>
      </c>
      <c r="F19" s="14" t="s">
        <v>494</v>
      </c>
    </row>
    <row r="20" spans="1:6" x14ac:dyDescent="0.25">
      <c r="A20" s="16">
        <v>46156</v>
      </c>
      <c r="B20" s="14" t="s">
        <v>311</v>
      </c>
      <c r="C20" s="14" t="s">
        <v>471</v>
      </c>
      <c r="D20" s="14" t="s">
        <v>475</v>
      </c>
      <c r="E20" s="14">
        <v>3</v>
      </c>
      <c r="F20" s="14" t="s">
        <v>495</v>
      </c>
    </row>
    <row r="21" spans="1:6" x14ac:dyDescent="0.25">
      <c r="A21" s="16">
        <v>46160</v>
      </c>
      <c r="B21" s="14" t="s">
        <v>311</v>
      </c>
      <c r="C21" s="14" t="s">
        <v>471</v>
      </c>
      <c r="D21" s="14" t="s">
        <v>481</v>
      </c>
      <c r="E21" s="14">
        <v>7.5</v>
      </c>
      <c r="F21" s="14" t="s">
        <v>494</v>
      </c>
    </row>
    <row r="22" spans="1:6" x14ac:dyDescent="0.25">
      <c r="A22" s="16">
        <v>46160</v>
      </c>
      <c r="B22" s="14" t="s">
        <v>311</v>
      </c>
      <c r="C22" s="14" t="s">
        <v>471</v>
      </c>
      <c r="D22" s="14" t="s">
        <v>481</v>
      </c>
      <c r="E22" s="14">
        <v>6</v>
      </c>
      <c r="F22" s="14" t="s">
        <v>495</v>
      </c>
    </row>
    <row r="23" spans="1:6" x14ac:dyDescent="0.25">
      <c r="A23" s="16">
        <v>46160</v>
      </c>
      <c r="B23" s="14" t="s">
        <v>311</v>
      </c>
      <c r="C23" s="14" t="s">
        <v>471</v>
      </c>
      <c r="D23" s="14" t="s">
        <v>481</v>
      </c>
      <c r="E23" s="14">
        <v>7.5</v>
      </c>
      <c r="F23" s="14" t="s">
        <v>496</v>
      </c>
    </row>
    <row r="24" spans="1:6" x14ac:dyDescent="0.25">
      <c r="A24" s="16">
        <v>46160</v>
      </c>
      <c r="B24" s="14" t="s">
        <v>311</v>
      </c>
      <c r="C24" s="14" t="s">
        <v>206</v>
      </c>
      <c r="D24" s="14" t="s">
        <v>481</v>
      </c>
      <c r="E24" s="14">
        <v>6</v>
      </c>
      <c r="F24" s="14" t="s">
        <v>496</v>
      </c>
    </row>
    <row r="25" spans="1:6" x14ac:dyDescent="0.25">
      <c r="A25" s="16">
        <v>46167</v>
      </c>
      <c r="B25" s="14" t="s">
        <v>311</v>
      </c>
      <c r="C25" s="14" t="s">
        <v>471</v>
      </c>
      <c r="D25" s="14" t="s">
        <v>481</v>
      </c>
      <c r="E25" s="14">
        <v>9.5</v>
      </c>
      <c r="F25" s="14" t="s">
        <v>494</v>
      </c>
    </row>
    <row r="26" spans="1:6" x14ac:dyDescent="0.25">
      <c r="A26" s="16">
        <v>46168</v>
      </c>
      <c r="B26" s="14" t="s">
        <v>311</v>
      </c>
      <c r="C26" s="14" t="s">
        <v>206</v>
      </c>
      <c r="D26" s="14" t="s">
        <v>97</v>
      </c>
      <c r="E26" s="14">
        <v>9.5</v>
      </c>
      <c r="F26" s="14" t="s">
        <v>495</v>
      </c>
    </row>
    <row r="27" spans="1:6" x14ac:dyDescent="0.25">
      <c r="A27" s="16">
        <v>46169</v>
      </c>
      <c r="B27" s="14" t="s">
        <v>311</v>
      </c>
      <c r="C27" s="14" t="s">
        <v>471</v>
      </c>
      <c r="D27" s="14" t="s">
        <v>481</v>
      </c>
      <c r="E27" s="14">
        <v>9.5</v>
      </c>
      <c r="F27" s="14" t="s">
        <v>494</v>
      </c>
    </row>
    <row r="28" spans="1:6" x14ac:dyDescent="0.25">
      <c r="A28" s="16">
        <v>46170</v>
      </c>
      <c r="B28" s="14" t="s">
        <v>311</v>
      </c>
      <c r="C28" s="14" t="s">
        <v>13</v>
      </c>
      <c r="D28" s="14" t="s">
        <v>97</v>
      </c>
      <c r="E28" s="14">
        <v>6</v>
      </c>
      <c r="F28" s="14" t="s">
        <v>497</v>
      </c>
    </row>
    <row r="29" spans="1:6" x14ac:dyDescent="0.25">
      <c r="A29" s="16">
        <v>46171</v>
      </c>
      <c r="B29" s="14" t="s">
        <v>311</v>
      </c>
      <c r="C29" s="14" t="s">
        <v>13</v>
      </c>
      <c r="D29" s="14" t="s">
        <v>97</v>
      </c>
      <c r="E29" s="14">
        <v>9.5</v>
      </c>
      <c r="F29" s="14" t="s">
        <v>497</v>
      </c>
    </row>
    <row r="30" spans="1:6" x14ac:dyDescent="0.25">
      <c r="A30" s="16">
        <v>46174</v>
      </c>
      <c r="B30" s="14" t="s">
        <v>311</v>
      </c>
      <c r="C30" s="14" t="s">
        <v>13</v>
      </c>
      <c r="D30" s="14" t="s">
        <v>97</v>
      </c>
      <c r="E30" s="14">
        <v>9.5</v>
      </c>
      <c r="F30" s="14" t="s">
        <v>497</v>
      </c>
    </row>
    <row r="31" spans="1:6" x14ac:dyDescent="0.25">
      <c r="A31" s="16">
        <v>46175</v>
      </c>
      <c r="B31" s="14" t="s">
        <v>311</v>
      </c>
      <c r="C31" s="14" t="s">
        <v>13</v>
      </c>
      <c r="D31" s="14" t="s">
        <v>97</v>
      </c>
      <c r="E31" s="14">
        <v>9.5</v>
      </c>
      <c r="F31" s="14" t="s">
        <v>497</v>
      </c>
    </row>
    <row r="32" spans="1:6" x14ac:dyDescent="0.25">
      <c r="A32" s="16">
        <v>46176</v>
      </c>
      <c r="B32" s="14" t="s">
        <v>311</v>
      </c>
      <c r="C32" s="14" t="s">
        <v>13</v>
      </c>
      <c r="D32" s="14" t="s">
        <v>97</v>
      </c>
      <c r="E32" s="14">
        <v>9.5</v>
      </c>
      <c r="F32" s="14" t="s">
        <v>497</v>
      </c>
    </row>
    <row r="33" spans="1:6" x14ac:dyDescent="0.25">
      <c r="A33" s="16">
        <v>46160</v>
      </c>
      <c r="B33" s="14" t="s">
        <v>318</v>
      </c>
      <c r="C33" s="14" t="s">
        <v>471</v>
      </c>
      <c r="D33" s="14" t="s">
        <v>80</v>
      </c>
      <c r="E33" s="14">
        <v>12</v>
      </c>
      <c r="F33" s="14" t="s">
        <v>498</v>
      </c>
    </row>
    <row r="34" spans="1:6" x14ac:dyDescent="0.25">
      <c r="A34" s="16">
        <f>A33+7</f>
        <v>46167</v>
      </c>
      <c r="B34" s="14" t="s">
        <v>479</v>
      </c>
      <c r="C34" s="14" t="s">
        <v>474</v>
      </c>
      <c r="D34" s="14" t="s">
        <v>480</v>
      </c>
      <c r="E34" s="14">
        <v>18</v>
      </c>
      <c r="F34" s="14" t="s">
        <v>499</v>
      </c>
    </row>
    <row r="35" spans="1:6" x14ac:dyDescent="0.25">
      <c r="A35" s="16">
        <v>46160</v>
      </c>
      <c r="B35" s="14" t="s">
        <v>318</v>
      </c>
      <c r="C35" s="14" t="s">
        <v>154</v>
      </c>
      <c r="D35" s="14" t="s">
        <v>45</v>
      </c>
      <c r="E35" s="14">
        <v>8</v>
      </c>
      <c r="F35" s="14" t="s">
        <v>500</v>
      </c>
    </row>
    <row r="36" spans="1:6" ht="45" x14ac:dyDescent="0.25">
      <c r="A36" s="16">
        <v>46160</v>
      </c>
      <c r="B36" s="14" t="s">
        <v>318</v>
      </c>
      <c r="C36" s="14" t="s">
        <v>206</v>
      </c>
      <c r="D36" s="14" t="s">
        <v>45</v>
      </c>
      <c r="E36" s="14">
        <v>8</v>
      </c>
      <c r="F36" s="70" t="s">
        <v>501</v>
      </c>
    </row>
    <row r="37" spans="1:6" x14ac:dyDescent="0.25">
      <c r="A37" s="16">
        <v>46160</v>
      </c>
      <c r="B37" s="14" t="s">
        <v>318</v>
      </c>
      <c r="C37" s="14"/>
      <c r="D37" s="14" t="s">
        <v>475</v>
      </c>
      <c r="E37" s="14">
        <v>6</v>
      </c>
      <c r="F37" s="14" t="s">
        <v>487</v>
      </c>
    </row>
    <row r="38" spans="1:6" x14ac:dyDescent="0.25">
      <c r="A38" s="16">
        <v>46160</v>
      </c>
      <c r="B38" s="14" t="s">
        <v>322</v>
      </c>
      <c r="C38" s="14" t="s">
        <v>206</v>
      </c>
      <c r="D38" s="14" t="s">
        <v>80</v>
      </c>
      <c r="E38" s="14">
        <v>6</v>
      </c>
      <c r="F38" s="14" t="s">
        <v>502</v>
      </c>
    </row>
    <row r="39" spans="1:6" x14ac:dyDescent="0.25">
      <c r="A39" s="16">
        <v>46160</v>
      </c>
      <c r="B39" s="14" t="s">
        <v>322</v>
      </c>
      <c r="C39" s="14" t="s">
        <v>154</v>
      </c>
      <c r="D39" s="14" t="s">
        <v>80</v>
      </c>
      <c r="E39" s="14">
        <v>6</v>
      </c>
      <c r="F39" s="14" t="s">
        <v>503</v>
      </c>
    </row>
    <row r="40" spans="1:6" x14ac:dyDescent="0.25">
      <c r="A40" s="16">
        <v>46160</v>
      </c>
      <c r="B40" s="14" t="s">
        <v>322</v>
      </c>
      <c r="C40" s="14" t="s">
        <v>471</v>
      </c>
      <c r="D40" s="14" t="s">
        <v>80</v>
      </c>
      <c r="E40" s="14">
        <v>4</v>
      </c>
      <c r="F40" s="14" t="s">
        <v>504</v>
      </c>
    </row>
    <row r="41" spans="1:6" x14ac:dyDescent="0.25">
      <c r="A41" s="16">
        <v>46160</v>
      </c>
      <c r="B41" s="14" t="s">
        <v>322</v>
      </c>
      <c r="C41" s="14" t="s">
        <v>471</v>
      </c>
      <c r="D41" s="14" t="s">
        <v>80</v>
      </c>
      <c r="E41" s="14">
        <v>2</v>
      </c>
      <c r="F41" s="14" t="s">
        <v>505</v>
      </c>
    </row>
    <row r="42" spans="1:6" x14ac:dyDescent="0.25">
      <c r="A42" s="16">
        <v>46160</v>
      </c>
      <c r="B42" s="14" t="s">
        <v>322</v>
      </c>
      <c r="C42" s="14" t="s">
        <v>475</v>
      </c>
      <c r="D42" s="14" t="s">
        <v>475</v>
      </c>
      <c r="E42" s="14">
        <v>2</v>
      </c>
      <c r="F42" s="14" t="s">
        <v>506</v>
      </c>
    </row>
    <row r="43" spans="1:6" x14ac:dyDescent="0.25">
      <c r="A43" s="16">
        <v>46160</v>
      </c>
      <c r="B43" s="14" t="s">
        <v>322</v>
      </c>
      <c r="C43" s="14" t="s">
        <v>477</v>
      </c>
      <c r="D43" s="14" t="s">
        <v>475</v>
      </c>
      <c r="E43" s="14">
        <v>4</v>
      </c>
      <c r="F43" s="14" t="s">
        <v>507</v>
      </c>
    </row>
    <row r="44" spans="1:6" ht="30" x14ac:dyDescent="0.25">
      <c r="A44" s="16">
        <v>46160</v>
      </c>
      <c r="B44" s="14" t="s">
        <v>314</v>
      </c>
      <c r="C44" s="14" t="s">
        <v>471</v>
      </c>
      <c r="D44" s="14" t="s">
        <v>91</v>
      </c>
      <c r="E44" s="14">
        <v>16</v>
      </c>
      <c r="F44" s="70" t="s">
        <v>508</v>
      </c>
    </row>
    <row r="45" spans="1:6" x14ac:dyDescent="0.25">
      <c r="A45" s="16">
        <v>46160</v>
      </c>
      <c r="B45" s="14" t="s">
        <v>301</v>
      </c>
      <c r="C45" s="14" t="s">
        <v>475</v>
      </c>
      <c r="D45" s="14" t="s">
        <v>475</v>
      </c>
      <c r="E45" s="14">
        <v>16</v>
      </c>
      <c r="F45" s="70" t="s">
        <v>509</v>
      </c>
    </row>
    <row r="46" spans="1:6" x14ac:dyDescent="0.25">
      <c r="A46" s="16">
        <v>46160</v>
      </c>
      <c r="B46" s="14" t="s">
        <v>301</v>
      </c>
      <c r="C46" s="14" t="s">
        <v>206</v>
      </c>
      <c r="D46" s="14" t="s">
        <v>454</v>
      </c>
      <c r="E46" s="14">
        <v>24</v>
      </c>
      <c r="F46" s="70" t="s">
        <v>510</v>
      </c>
    </row>
    <row r="47" spans="1:6" ht="17.25" customHeight="1" x14ac:dyDescent="0.25">
      <c r="A47" s="16">
        <v>46164</v>
      </c>
      <c r="B47" s="14" t="s">
        <v>314</v>
      </c>
      <c r="C47" s="14" t="s">
        <v>206</v>
      </c>
      <c r="D47" s="14" t="s">
        <v>80</v>
      </c>
      <c r="E47" s="14">
        <v>8</v>
      </c>
      <c r="F47" s="70" t="s">
        <v>511</v>
      </c>
    </row>
    <row r="48" spans="1:6" x14ac:dyDescent="0.25">
      <c r="A48" s="16">
        <v>46167</v>
      </c>
      <c r="B48" s="14" t="s">
        <v>322</v>
      </c>
      <c r="C48" s="14" t="s">
        <v>471</v>
      </c>
      <c r="D48" s="14" t="s">
        <v>91</v>
      </c>
      <c r="E48" s="14">
        <v>2</v>
      </c>
      <c r="F48" s="14" t="s">
        <v>504</v>
      </c>
    </row>
    <row r="49" spans="1:6" x14ac:dyDescent="0.25">
      <c r="A49" s="16">
        <v>46167</v>
      </c>
      <c r="B49" s="14" t="s">
        <v>322</v>
      </c>
      <c r="C49" s="14" t="s">
        <v>471</v>
      </c>
      <c r="D49" s="14" t="s">
        <v>475</v>
      </c>
      <c r="E49" s="14">
        <v>4</v>
      </c>
      <c r="F49" s="14" t="s">
        <v>505</v>
      </c>
    </row>
    <row r="50" spans="1:6" x14ac:dyDescent="0.25">
      <c r="A50" s="16">
        <v>46167</v>
      </c>
      <c r="B50" s="14" t="s">
        <v>322</v>
      </c>
      <c r="C50" s="14" t="s">
        <v>471</v>
      </c>
      <c r="D50" s="14" t="s">
        <v>481</v>
      </c>
      <c r="E50" s="14">
        <v>4</v>
      </c>
      <c r="F50" s="14" t="s">
        <v>512</v>
      </c>
    </row>
    <row r="51" spans="1:6" x14ac:dyDescent="0.25">
      <c r="A51" s="16">
        <v>46167</v>
      </c>
      <c r="B51" s="14" t="s">
        <v>322</v>
      </c>
      <c r="C51" s="14" t="s">
        <v>475</v>
      </c>
      <c r="D51" s="14" t="s">
        <v>475</v>
      </c>
      <c r="E51" s="14">
        <v>4</v>
      </c>
      <c r="F51" s="14" t="s">
        <v>507</v>
      </c>
    </row>
    <row r="52" spans="1:6" x14ac:dyDescent="0.25">
      <c r="A52" s="16">
        <v>46167</v>
      </c>
      <c r="B52" s="14" t="s">
        <v>322</v>
      </c>
      <c r="C52" s="14" t="s">
        <v>475</v>
      </c>
      <c r="D52" s="14" t="s">
        <v>475</v>
      </c>
      <c r="E52" s="14">
        <v>3</v>
      </c>
      <c r="F52" s="14" t="s">
        <v>513</v>
      </c>
    </row>
    <row r="53" spans="1:6" x14ac:dyDescent="0.25">
      <c r="A53" s="16">
        <v>46167</v>
      </c>
      <c r="B53" s="14" t="s">
        <v>322</v>
      </c>
      <c r="C53" s="14" t="s">
        <v>206</v>
      </c>
      <c r="D53" s="14" t="s">
        <v>80</v>
      </c>
      <c r="E53" s="14">
        <v>6</v>
      </c>
      <c r="F53" s="14" t="s">
        <v>514</v>
      </c>
    </row>
    <row r="54" spans="1:6" x14ac:dyDescent="0.25">
      <c r="A54" s="16">
        <v>46167</v>
      </c>
      <c r="B54" s="14" t="s">
        <v>287</v>
      </c>
      <c r="C54" s="14" t="s">
        <v>13</v>
      </c>
      <c r="D54" s="14" t="s">
        <v>475</v>
      </c>
      <c r="E54" s="14">
        <v>16</v>
      </c>
      <c r="F54" s="14" t="s">
        <v>515</v>
      </c>
    </row>
    <row r="55" spans="1:6" x14ac:dyDescent="0.25">
      <c r="A55" s="16">
        <v>46167</v>
      </c>
      <c r="B55" s="14" t="s">
        <v>287</v>
      </c>
      <c r="C55" s="14" t="s">
        <v>13</v>
      </c>
      <c r="D55" s="14" t="s">
        <v>475</v>
      </c>
      <c r="E55" s="14">
        <v>3</v>
      </c>
      <c r="F55" s="14" t="s">
        <v>516</v>
      </c>
    </row>
    <row r="56" spans="1:6" x14ac:dyDescent="0.25">
      <c r="A56" s="16">
        <v>46167</v>
      </c>
      <c r="B56" s="14" t="s">
        <v>287</v>
      </c>
      <c r="C56" s="14" t="s">
        <v>475</v>
      </c>
      <c r="D56" s="14" t="s">
        <v>475</v>
      </c>
      <c r="E56" s="14">
        <v>2</v>
      </c>
      <c r="F56" s="14" t="s">
        <v>517</v>
      </c>
    </row>
    <row r="57" spans="1:6" x14ac:dyDescent="0.25">
      <c r="A57" s="26">
        <v>46167</v>
      </c>
      <c r="B57" s="77" t="s">
        <v>287</v>
      </c>
      <c r="C57" s="77"/>
      <c r="D57" s="77" t="s">
        <v>475</v>
      </c>
      <c r="E57" s="77">
        <v>6</v>
      </c>
      <c r="F57" s="77" t="s">
        <v>487</v>
      </c>
    </row>
    <row r="58" spans="1:6" x14ac:dyDescent="0.25">
      <c r="A58" s="75"/>
      <c r="B58" s="76"/>
      <c r="C58" s="76"/>
      <c r="D58" s="76"/>
      <c r="E58" s="76"/>
      <c r="F58" s="76"/>
    </row>
    <row r="59" spans="1:6" x14ac:dyDescent="0.25">
      <c r="A59" s="75"/>
      <c r="B59" s="76"/>
      <c r="C59" s="76"/>
      <c r="D59" s="76"/>
      <c r="E59" s="76"/>
      <c r="F59" s="76"/>
    </row>
    <row r="60" spans="1:6" x14ac:dyDescent="0.25">
      <c r="A60" s="75"/>
      <c r="B60" s="76"/>
      <c r="C60" s="76"/>
      <c r="D60" s="76"/>
      <c r="E60" s="76"/>
      <c r="F60" s="76"/>
    </row>
    <row r="61" spans="1:6" x14ac:dyDescent="0.25">
      <c r="A61" s="75"/>
      <c r="B61" s="76"/>
      <c r="C61" s="76"/>
      <c r="D61" s="76"/>
      <c r="E61" s="76"/>
      <c r="F61" s="76"/>
    </row>
    <row r="62" spans="1:6" x14ac:dyDescent="0.25">
      <c r="A62" s="75"/>
      <c r="B62" s="76"/>
      <c r="C62" s="76"/>
      <c r="D62" s="76"/>
      <c r="E62" s="76"/>
      <c r="F62" s="76"/>
    </row>
    <row r="63" spans="1:6" x14ac:dyDescent="0.25">
      <c r="A63" s="75"/>
      <c r="B63" s="76"/>
      <c r="C63" s="76"/>
      <c r="D63" s="76"/>
      <c r="E63" s="76"/>
      <c r="F63" s="76"/>
    </row>
  </sheetData>
  <mergeCells count="1">
    <mergeCell ref="A2:F2"/>
  </mergeCell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AFADC10B-E721-4EA2-A6D2-904E4290E4E7}">
          <x14:formula1>
            <xm:f>Hoja2!$B$3:$B$22</xm:f>
          </x14:formula1>
          <xm:sqref>B4:B57</xm:sqref>
        </x14:dataValidation>
        <x14:dataValidation type="list" allowBlank="1" showInputMessage="1" showErrorMessage="1" xr:uid="{1A6F18AE-20CE-46F0-A5E6-43D684E76B04}">
          <x14:formula1>
            <xm:f>Hoja2!$D$3:$D$39</xm:f>
          </x14:formula1>
          <xm:sqref>D4:D57</xm:sqref>
        </x14:dataValidation>
        <x14:dataValidation type="list" allowBlank="1" showInputMessage="1" showErrorMessage="1" xr:uid="{6B544FE4-581C-444E-A400-117907872479}">
          <x14:formula1>
            <xm:f>Hoja2!$C$3:$C$21</xm:f>
          </x14:formula1>
          <xm:sqref>C4:C57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86CEA-FB48-4655-B09A-9A904BF66C99}">
  <sheetPr codeName="Hoja8"/>
  <dimension ref="A1:E20"/>
  <sheetViews>
    <sheetView workbookViewId="0">
      <selection activeCell="F11" sqref="F11"/>
    </sheetView>
  </sheetViews>
  <sheetFormatPr baseColWidth="10" defaultColWidth="11.42578125" defaultRowHeight="15" x14ac:dyDescent="0.25"/>
  <cols>
    <col min="1" max="1" width="27.7109375" customWidth="1"/>
    <col min="4" max="4" width="20.42578125" customWidth="1"/>
    <col min="5" max="5" width="52.7109375" customWidth="1"/>
  </cols>
  <sheetData>
    <row r="1" spans="1:5" x14ac:dyDescent="0.25">
      <c r="A1" s="14" t="s">
        <v>518</v>
      </c>
      <c r="B1" s="14" t="s">
        <v>519</v>
      </c>
      <c r="C1" s="14" t="s">
        <v>520</v>
      </c>
      <c r="D1" s="14" t="s">
        <v>258</v>
      </c>
      <c r="E1" s="14" t="s">
        <v>521</v>
      </c>
    </row>
    <row r="2" spans="1:5" s="65" customFormat="1" ht="30" x14ac:dyDescent="0.25">
      <c r="A2" s="39" t="s">
        <v>522</v>
      </c>
      <c r="B2" s="64" t="s">
        <v>523</v>
      </c>
      <c r="C2" s="64" t="s">
        <v>524</v>
      </c>
      <c r="D2" s="64" t="s">
        <v>525</v>
      </c>
      <c r="E2" s="64" t="s">
        <v>526</v>
      </c>
    </row>
    <row r="3" spans="1:5" s="65" customFormat="1" x14ac:dyDescent="0.25">
      <c r="A3" s="39" t="s">
        <v>527</v>
      </c>
      <c r="B3" s="64" t="s">
        <v>528</v>
      </c>
      <c r="C3" s="64" t="s">
        <v>529</v>
      </c>
      <c r="D3" s="64" t="s">
        <v>530</v>
      </c>
      <c r="E3" s="64" t="s">
        <v>531</v>
      </c>
    </row>
    <row r="4" spans="1:5" s="65" customFormat="1" x14ac:dyDescent="0.25">
      <c r="A4" s="89" t="s">
        <v>532</v>
      </c>
      <c r="B4" s="64" t="s">
        <v>528</v>
      </c>
      <c r="C4" s="64" t="s">
        <v>533</v>
      </c>
      <c r="D4" s="64" t="s">
        <v>530</v>
      </c>
      <c r="E4" s="64" t="s">
        <v>531</v>
      </c>
    </row>
    <row r="5" spans="1:5" s="65" customFormat="1" x14ac:dyDescent="0.25">
      <c r="A5" s="89"/>
      <c r="B5" s="64" t="s">
        <v>531</v>
      </c>
      <c r="C5" s="64" t="s">
        <v>531</v>
      </c>
      <c r="D5" s="64" t="s">
        <v>534</v>
      </c>
      <c r="E5" s="64" t="s">
        <v>531</v>
      </c>
    </row>
    <row r="6" spans="1:5" s="65" customFormat="1" x14ac:dyDescent="0.25">
      <c r="A6" s="39" t="s">
        <v>535</v>
      </c>
      <c r="B6" s="64" t="s">
        <v>528</v>
      </c>
      <c r="C6" s="64" t="s">
        <v>536</v>
      </c>
      <c r="D6" s="64" t="s">
        <v>530</v>
      </c>
      <c r="E6" s="64" t="s">
        <v>531</v>
      </c>
    </row>
    <row r="7" spans="1:5" s="65" customFormat="1" x14ac:dyDescent="0.25">
      <c r="A7" s="39" t="s">
        <v>537</v>
      </c>
      <c r="B7" s="64" t="s">
        <v>528</v>
      </c>
      <c r="C7" s="64"/>
      <c r="D7" s="64" t="s">
        <v>538</v>
      </c>
      <c r="E7" s="64" t="s">
        <v>539</v>
      </c>
    </row>
    <row r="8" spans="1:5" s="65" customFormat="1" ht="45" x14ac:dyDescent="0.25">
      <c r="A8" s="39" t="s">
        <v>540</v>
      </c>
      <c r="B8" s="64" t="s">
        <v>528</v>
      </c>
      <c r="C8" s="64"/>
      <c r="D8" s="64" t="s">
        <v>538</v>
      </c>
      <c r="E8" s="64" t="s">
        <v>541</v>
      </c>
    </row>
    <row r="9" spans="1:5" s="65" customFormat="1" x14ac:dyDescent="0.25">
      <c r="A9" s="39" t="s">
        <v>542</v>
      </c>
      <c r="B9" s="64" t="s">
        <v>528</v>
      </c>
      <c r="C9" s="64"/>
      <c r="D9" s="64" t="s">
        <v>543</v>
      </c>
      <c r="E9" s="64" t="s">
        <v>544</v>
      </c>
    </row>
    <row r="10" spans="1:5" s="65" customFormat="1" x14ac:dyDescent="0.25">
      <c r="A10" s="39" t="s">
        <v>479</v>
      </c>
      <c r="B10" s="64" t="s">
        <v>528</v>
      </c>
      <c r="C10" s="64"/>
      <c r="D10" s="64" t="s">
        <v>534</v>
      </c>
      <c r="E10" s="64" t="s">
        <v>531</v>
      </c>
    </row>
    <row r="11" spans="1:5" s="65" customFormat="1" ht="45" x14ac:dyDescent="0.25">
      <c r="A11" s="39" t="s">
        <v>318</v>
      </c>
      <c r="B11" s="64" t="s">
        <v>528</v>
      </c>
      <c r="C11" s="64" t="s">
        <v>545</v>
      </c>
      <c r="D11" s="64" t="s">
        <v>543</v>
      </c>
      <c r="E11" s="64" t="s">
        <v>546</v>
      </c>
    </row>
    <row r="12" spans="1:5" x14ac:dyDescent="0.25">
      <c r="A12" s="36" t="s">
        <v>322</v>
      </c>
      <c r="B12" s="14" t="s">
        <v>547</v>
      </c>
      <c r="C12" s="14" t="s">
        <v>548</v>
      </c>
      <c r="D12" s="14" t="s">
        <v>543</v>
      </c>
      <c r="E12" s="14" t="s">
        <v>531</v>
      </c>
    </row>
    <row r="13" spans="1:5" x14ac:dyDescent="0.25">
      <c r="A13" s="36" t="s">
        <v>549</v>
      </c>
      <c r="B13" s="14" t="s">
        <v>547</v>
      </c>
      <c r="C13" s="14" t="s">
        <v>550</v>
      </c>
      <c r="D13" s="14" t="s">
        <v>530</v>
      </c>
      <c r="E13" s="14" t="s">
        <v>551</v>
      </c>
    </row>
    <row r="14" spans="1:5" ht="105" x14ac:dyDescent="0.25">
      <c r="A14" s="71" t="s">
        <v>552</v>
      </c>
      <c r="B14" s="14"/>
      <c r="C14" s="14"/>
      <c r="D14" s="24" t="s">
        <v>534</v>
      </c>
      <c r="E14" s="72" t="s">
        <v>553</v>
      </c>
    </row>
    <row r="15" spans="1:5" x14ac:dyDescent="0.25">
      <c r="A15" s="36"/>
      <c r="B15" s="14"/>
      <c r="C15" s="14"/>
      <c r="D15" s="14"/>
      <c r="E15" s="14"/>
    </row>
    <row r="16" spans="1:5" x14ac:dyDescent="0.25">
      <c r="A16" s="36"/>
      <c r="B16" s="14"/>
      <c r="C16" s="14"/>
      <c r="D16" s="14"/>
      <c r="E16" s="14"/>
    </row>
    <row r="17" spans="1:5" x14ac:dyDescent="0.25">
      <c r="A17" s="36"/>
      <c r="B17" s="14"/>
      <c r="C17" s="14"/>
      <c r="D17" s="14"/>
      <c r="E17" s="14"/>
    </row>
    <row r="18" spans="1:5" x14ac:dyDescent="0.25">
      <c r="A18" s="36"/>
      <c r="B18" s="14"/>
      <c r="C18" s="14"/>
      <c r="D18" s="14"/>
      <c r="E18" s="14"/>
    </row>
    <row r="19" spans="1:5" x14ac:dyDescent="0.25">
      <c r="A19" s="36"/>
      <c r="B19" s="14"/>
      <c r="C19" s="14"/>
      <c r="D19" s="14"/>
      <c r="E19" s="14"/>
    </row>
    <row r="20" spans="1:5" x14ac:dyDescent="0.25">
      <c r="A20" s="14"/>
      <c r="B20" s="14"/>
      <c r="C20" s="14"/>
      <c r="D20" s="14"/>
      <c r="E20" s="14"/>
    </row>
  </sheetData>
  <mergeCells count="1">
    <mergeCell ref="A4:A5"/>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4C37D7291FF474FA6995D50209384C7" ma:contentTypeVersion="30" ma:contentTypeDescription="Crear nuevo documento." ma:contentTypeScope="" ma:versionID="61544574770887fc1d9c428ac0268f58">
  <xsd:schema xmlns:xsd="http://www.w3.org/2001/XMLSchema" xmlns:xs="http://www.w3.org/2001/XMLSchema" xmlns:p="http://schemas.microsoft.com/office/2006/metadata/properties" xmlns:ns1="http://schemas.microsoft.com/sharepoint/v3" xmlns:ns2="e0a4cbbf-afc1-4345-be67-5047c2db0092" xmlns:ns3="36963f87-ef60-41ed-966f-da514b6d6423" targetNamespace="http://schemas.microsoft.com/office/2006/metadata/properties" ma:root="true" ma:fieldsID="e9aa2274526b05ec1f1972c8eb3d8cc1" ns1:_="" ns2:_="" ns3:_="">
    <xsd:import namespace="http://schemas.microsoft.com/sharepoint/v3"/>
    <xsd:import namespace="e0a4cbbf-afc1-4345-be67-5047c2db0092"/>
    <xsd:import namespace="36963f87-ef60-41ed-966f-da514b6d6423"/>
    <xsd:element name="properties">
      <xsd:complexType>
        <xsd:sequence>
          <xsd:element name="documentManagement">
            <xsd:complexType>
              <xsd:all>
                <xsd:element ref="ns3:SharedWithUsers" minOccurs="0"/>
                <xsd:element ref="ns3:SharedWithDetails" minOccurs="0"/>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Location"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1:EMail"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 ma:index="23" nillable="true" ma:displayName="Correo electrónico" ma:internalName="EMail"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a4cbbf-afc1-4345-be67-5047c2db0092"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Etiquetas de imagen" ma:readOnly="false" ma:fieldId="{5cf76f15-5ced-4ddc-b409-7134ff3c332f}" ma:taxonomyMulti="true" ma:sspId="37de0b55-e52f-4644-b0b2-e06571091aaf" ma:termSetId="09814cd3-568e-fe90-9814-8d621ff8fb84" ma:anchorId="fba54fb3-c3e1-fe81-a776-ca4b69148c4d" ma:open="true" ma:isKeyword="false">
      <xsd:complexType>
        <xsd:sequence>
          <xsd:element ref="pc:Terms" minOccurs="0" maxOccurs="1"/>
        </xsd:sequence>
      </xsd:complexType>
    </xsd:element>
    <xsd:element name="MediaServiceLocation" ma:index="16" nillable="true" ma:displayName="Location" ma:hidden="true" ma:indexed="true"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hidden="true" ma:internalName="MediaServiceOCR" ma:readOnly="true">
      <xsd:simpleType>
        <xsd:restriction base="dms:Note"/>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6963f87-ef60-41ed-966f-da514b6d6423" elementFormDefault="qualified">
    <xsd:import namespace="http://schemas.microsoft.com/office/2006/documentManagement/types"/>
    <xsd:import namespace="http://schemas.microsoft.com/office/infopath/2007/PartnerControls"/>
    <xsd:element name="SharedWithUsers" ma:index="7" nillable="true" ma:displayName="Compartido c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8" nillable="true" ma:displayName="Detalles de uso compartido" ma:hidden="true" ma:internalName="SharedWithDetails" ma:readOnly="true">
      <xsd:simpleType>
        <xsd:restriction base="dms:Note"/>
      </xsd:simpleType>
    </xsd:element>
    <xsd:element name="TaxCatchAll" ma:index="15" nillable="true" ma:displayName="Taxonomy Catch All Column" ma:hidden="true" ma:list="{ca82c145-1c31-4632-b7cc-d7c1779a502d}" ma:internalName="TaxCatchAll" ma:readOnly="false" ma:showField="CatchAllData" ma:web="36963f87-ef60-41ed-966f-da514b6d642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0a4cbbf-afc1-4345-be67-5047c2db0092">
      <Terms xmlns="http://schemas.microsoft.com/office/infopath/2007/PartnerControls"/>
    </lcf76f155ced4ddcb4097134ff3c332f>
    <EMail xmlns="http://schemas.microsoft.com/sharepoint/v3" xsi:nil="true"/>
    <TaxCatchAll xmlns="36963f87-ef60-41ed-966f-da514b6d642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1A911A-6BBD-4C03-B48F-2A36B87829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0a4cbbf-afc1-4345-be67-5047c2db0092"/>
    <ds:schemaRef ds:uri="36963f87-ef60-41ed-966f-da514b6d642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B90B84-3204-4E3A-949C-0A63F9102FFF}">
  <ds:schemaRefs>
    <ds:schemaRef ds:uri="http://schemas.openxmlformats.org/package/2006/metadata/core-properties"/>
    <ds:schemaRef ds:uri="http://purl.org/dc/terms/"/>
    <ds:schemaRef ds:uri="36963f87-ef60-41ed-966f-da514b6d6423"/>
    <ds:schemaRef ds:uri="http://schemas.microsoft.com/sharepoint/v3"/>
    <ds:schemaRef ds:uri="http://schemas.microsoft.com/office/2006/metadata/properties"/>
    <ds:schemaRef ds:uri="http://www.w3.org/XML/1998/namespace"/>
    <ds:schemaRef ds:uri="http://schemas.microsoft.com/office/2006/documentManagement/types"/>
    <ds:schemaRef ds:uri="http://schemas.microsoft.com/office/infopath/2007/PartnerControls"/>
    <ds:schemaRef ds:uri="e0a4cbbf-afc1-4345-be67-5047c2db0092"/>
    <ds:schemaRef ds:uri="http://purl.org/dc/dcmitype/"/>
    <ds:schemaRef ds:uri="http://purl.org/dc/elements/1.1/"/>
  </ds:schemaRefs>
</ds:datastoreItem>
</file>

<file path=customXml/itemProps3.xml><?xml version="1.0" encoding="utf-8"?>
<ds:datastoreItem xmlns:ds="http://schemas.openxmlformats.org/officeDocument/2006/customXml" ds:itemID="{B98B052D-C4FC-4BC8-A2FE-E4BA16A10B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Avance proyectos</vt:lpstr>
      <vt:lpstr>Avance proy.</vt:lpstr>
      <vt:lpstr>Semana Actual</vt:lpstr>
      <vt:lpstr>Semana Proyectada</vt:lpstr>
      <vt:lpstr>Proyectos Naturgy </vt:lpstr>
      <vt:lpstr>Resumen</vt:lpstr>
      <vt:lpstr>Hoja2</vt:lpstr>
      <vt:lpstr>Reporte de horas</vt:lpstr>
      <vt:lpstr>Asignacion Equipos</vt:lpstr>
      <vt:lpstr>Resumen!Área_de_impresión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Oscar Lozano</dc:creator>
  <cp:keywords/>
  <dc:description/>
  <cp:lastModifiedBy>ANIBAL ANTONIO DE AVILA RUEDA</cp:lastModifiedBy>
  <cp:revision/>
  <dcterms:created xsi:type="dcterms:W3CDTF">2026-02-27T13:20:05Z</dcterms:created>
  <dcterms:modified xsi:type="dcterms:W3CDTF">2026-06-16T16:23:51Z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0x01010044C37D7291FF474FA6995D50209384C7</vt:lpwstr>
  </property>
</Properties>
</file>